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xr:revisionPtr revIDLastSave="0" documentId="13_ncr:1_{08B6EF94-2E2B-433E-9B51-99B3BF1B6AF5}" xr6:coauthVersionLast="47" xr6:coauthVersionMax="47" xr10:uidLastSave="{00000000-0000-0000-0000-000000000000}"/>
  <bookViews>
    <workbookView xWindow="-120" yWindow="-120" windowWidth="29040" windowHeight="15720" tabRatio="593" activeTab="3" xr2:uid="{00000000-000D-0000-FFFF-FFFF00000000}"/>
  </bookViews>
  <sheets>
    <sheet name="Modeles" sheetId="10" r:id="rId1"/>
    <sheet name="Manifest" sheetId="21" r:id="rId2"/>
    <sheet name="Couleurs" sheetId="17" r:id="rId3"/>
    <sheet name="macros" sheetId="20" r:id="rId4"/>
    <sheet name="Feuil1" sheetId="12" r:id="rId5"/>
    <sheet name="ListeApp" sheetId="4" r:id="rId6"/>
    <sheet name="fntFile" sheetId="8" r:id="rId7"/>
    <sheet name="texte" sheetId="5" r:id="rId8"/>
  </sheets>
  <functionGroups builtInGroupCount="19"/>
  <externalReferences>
    <externalReference r:id="rId9"/>
  </externalReferences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0" l="1"/>
  <c r="B2" i="20"/>
  <c r="B3" i="20"/>
  <c r="B4" i="20"/>
  <c r="B5" i="20"/>
  <c r="B6" i="20"/>
  <c r="B7" i="20"/>
  <c r="B8" i="20"/>
  <c r="F118" i="12"/>
  <c r="M118" i="12"/>
  <c r="F119" i="12"/>
  <c r="M119" i="12"/>
  <c r="F120" i="12"/>
  <c r="M120" i="12"/>
  <c r="B120" i="12"/>
  <c r="B119" i="12"/>
  <c r="B118" i="12"/>
  <c r="D26" i="12"/>
  <c r="D27" i="12"/>
  <c r="D28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1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31" i="12"/>
  <c r="M32" i="12"/>
  <c r="M33" i="12"/>
  <c r="M34" i="12"/>
  <c r="M35" i="12"/>
  <c r="M36" i="12"/>
  <c r="M44" i="12"/>
  <c r="M43" i="12"/>
  <c r="M42" i="12"/>
  <c r="M41" i="12"/>
  <c r="M40" i="12"/>
  <c r="M39" i="12"/>
  <c r="M38" i="12"/>
  <c r="M37" i="12"/>
  <c r="M31" i="12"/>
  <c r="F31" i="12"/>
  <c r="B31" i="12"/>
  <c r="M128" i="12"/>
  <c r="M127" i="12"/>
  <c r="M126" i="12"/>
  <c r="M125" i="12"/>
  <c r="M124" i="12"/>
  <c r="M123" i="12"/>
  <c r="M122" i="12"/>
  <c r="M121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21" i="12"/>
  <c r="F122" i="12"/>
  <c r="F123" i="12"/>
  <c r="F124" i="12"/>
  <c r="F125" i="12"/>
  <c r="F126" i="12"/>
  <c r="F127" i="12"/>
  <c r="F128" i="12"/>
  <c r="F101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50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11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50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21" i="12"/>
  <c r="B122" i="12"/>
  <c r="B123" i="12"/>
  <c r="B124" i="12"/>
  <c r="B125" i="12"/>
  <c r="B126" i="12"/>
  <c r="B127" i="12"/>
  <c r="B128" i="12"/>
  <c r="B101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50" i="12"/>
  <c r="D1" i="8"/>
  <c r="A12" i="8" s="1"/>
  <c r="A9" i="8"/>
  <c r="A29" i="8" l="1"/>
  <c r="A30" i="8"/>
  <c r="A31" i="8"/>
  <c r="A18" i="8"/>
  <c r="A16" i="8"/>
  <c r="A19" i="8"/>
  <c r="A17" i="8"/>
  <c r="A24" i="8"/>
  <c r="A23" i="8"/>
  <c r="A15" i="8"/>
  <c r="A14" i="8"/>
  <c r="A11" i="8"/>
  <c r="A21" i="8"/>
  <c r="A13" i="8"/>
  <c r="A27" i="8"/>
  <c r="A26" i="8"/>
  <c r="A25" i="8"/>
  <c r="A22" i="8"/>
  <c r="A28" i="8"/>
  <c r="A20" i="8"/>
  <c r="A7" i="8"/>
  <c r="C6" i="17"/>
  <c r="C5" i="17"/>
  <c r="F6" i="17"/>
  <c r="F14" i="17"/>
  <c r="F22" i="17"/>
  <c r="F30" i="17"/>
  <c r="F38" i="17"/>
  <c r="F46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E45" i="17"/>
  <c r="H45" i="17" s="1"/>
  <c r="K45" i="17" s="1"/>
  <c r="E44" i="17"/>
  <c r="G44" i="17" s="1"/>
  <c r="J44" i="17" s="1"/>
  <c r="H43" i="17"/>
  <c r="K43" i="17" s="1"/>
  <c r="G43" i="17"/>
  <c r="J43" i="17" s="1"/>
  <c r="E43" i="17"/>
  <c r="I43" i="17" s="1"/>
  <c r="L43" i="17" s="1"/>
  <c r="E42" i="17"/>
  <c r="G42" i="17" s="1"/>
  <c r="J42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H38" i="17"/>
  <c r="G38" i="17"/>
  <c r="J38" i="17" s="1"/>
  <c r="E38" i="17"/>
  <c r="I38" i="17" s="1"/>
  <c r="L38" i="17" s="1"/>
  <c r="E37" i="17"/>
  <c r="H37" i="17" s="1"/>
  <c r="K37" i="17" s="1"/>
  <c r="E36" i="17"/>
  <c r="G36" i="17" s="1"/>
  <c r="J36" i="17" s="1"/>
  <c r="H35" i="17"/>
  <c r="K35" i="17" s="1"/>
  <c r="E35" i="17"/>
  <c r="F35" i="17" s="1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E30" i="17"/>
  <c r="I30" i="17" s="1"/>
  <c r="L30" i="17" s="1"/>
  <c r="E29" i="17"/>
  <c r="H29" i="17" s="1"/>
  <c r="K29" i="17" s="1"/>
  <c r="E28" i="17"/>
  <c r="G28" i="17" s="1"/>
  <c r="J28" i="17" s="1"/>
  <c r="G27" i="17"/>
  <c r="J27" i="17" s="1"/>
  <c r="E27" i="17"/>
  <c r="F27" i="17" s="1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H22" i="17"/>
  <c r="K22" i="17" s="1"/>
  <c r="E22" i="17"/>
  <c r="I22" i="17" s="1"/>
  <c r="L22" i="17" s="1"/>
  <c r="I21" i="17"/>
  <c r="L21" i="17" s="1"/>
  <c r="E21" i="17"/>
  <c r="H21" i="17" s="1"/>
  <c r="K21" i="17" s="1"/>
  <c r="I20" i="17"/>
  <c r="L20" i="17" s="1"/>
  <c r="E20" i="17"/>
  <c r="G20" i="17" s="1"/>
  <c r="J20" i="17" s="1"/>
  <c r="E19" i="17"/>
  <c r="I19" i="17" s="1"/>
  <c r="L19" i="17" s="1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H14" i="17"/>
  <c r="G14" i="17"/>
  <c r="J14" i="17" s="1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E11" i="17"/>
  <c r="F11" i="17" s="1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G6" i="17"/>
  <c r="J6" i="17" s="1"/>
  <c r="E6" i="17"/>
  <c r="I6" i="17" s="1"/>
  <c r="L6" i="17" s="1"/>
  <c r="E5" i="17"/>
  <c r="H5" i="17" s="1"/>
  <c r="K5" i="17" s="1"/>
  <c r="E4" i="17"/>
  <c r="G4" i="17" s="1"/>
  <c r="J4" i="17" s="1"/>
  <c r="H3" i="17"/>
  <c r="K3" i="17" s="1"/>
  <c r="E3" i="17"/>
  <c r="F3" i="17" s="1"/>
  <c r="E2" i="17"/>
  <c r="G2" i="17" s="1"/>
  <c r="J2" i="17" s="1"/>
  <c r="H27" i="17" l="1"/>
  <c r="K27" i="17" s="1"/>
  <c r="G30" i="17"/>
  <c r="J30" i="17" s="1"/>
  <c r="I37" i="17"/>
  <c r="L37" i="17" s="1"/>
  <c r="H44" i="17"/>
  <c r="K44" i="17" s="1"/>
  <c r="F2" i="17"/>
  <c r="F40" i="17"/>
  <c r="F32" i="17"/>
  <c r="F24" i="17"/>
  <c r="F16" i="17"/>
  <c r="F8" i="17"/>
  <c r="I5" i="17"/>
  <c r="L5" i="17" s="1"/>
  <c r="G3" i="17"/>
  <c r="J3" i="17" s="1"/>
  <c r="H20" i="17"/>
  <c r="K20" i="17" s="1"/>
  <c r="I27" i="17"/>
  <c r="L27" i="17" s="1"/>
  <c r="H30" i="17"/>
  <c r="K30" i="17" s="1"/>
  <c r="G35" i="17"/>
  <c r="J35" i="17" s="1"/>
  <c r="G41" i="17"/>
  <c r="J41" i="17" s="1"/>
  <c r="I44" i="17"/>
  <c r="L44" i="17" s="1"/>
  <c r="F47" i="17"/>
  <c r="F39" i="17"/>
  <c r="F31" i="17"/>
  <c r="F23" i="17"/>
  <c r="F15" i="17"/>
  <c r="F7" i="17"/>
  <c r="I3" i="17"/>
  <c r="L3" i="17" s="1"/>
  <c r="H6" i="17"/>
  <c r="K6" i="17" s="1"/>
  <c r="G11" i="17"/>
  <c r="J11" i="17" s="1"/>
  <c r="H28" i="17"/>
  <c r="K28" i="17" s="1"/>
  <c r="I35" i="17"/>
  <c r="L35" i="17" s="1"/>
  <c r="I45" i="17"/>
  <c r="L45" i="17" s="1"/>
  <c r="F45" i="17"/>
  <c r="F37" i="17"/>
  <c r="F29" i="17"/>
  <c r="F21" i="17"/>
  <c r="F13" i="17"/>
  <c r="F5" i="17"/>
  <c r="I28" i="17"/>
  <c r="L28" i="17" s="1"/>
  <c r="F44" i="17"/>
  <c r="F36" i="17"/>
  <c r="F28" i="17"/>
  <c r="F20" i="17"/>
  <c r="F12" i="17"/>
  <c r="F4" i="17"/>
  <c r="H11" i="17"/>
  <c r="K11" i="17" s="1"/>
  <c r="H4" i="17"/>
  <c r="K4" i="17" s="1"/>
  <c r="I11" i="17"/>
  <c r="L11" i="17" s="1"/>
  <c r="H36" i="17"/>
  <c r="K36" i="17" s="1"/>
  <c r="F43" i="17"/>
  <c r="F19" i="17"/>
  <c r="G19" i="17"/>
  <c r="J19" i="17" s="1"/>
  <c r="I4" i="17"/>
  <c r="L4" i="17" s="1"/>
  <c r="H19" i="17"/>
  <c r="K19" i="17" s="1"/>
  <c r="G22" i="17"/>
  <c r="J22" i="17" s="1"/>
  <c r="I29" i="17"/>
  <c r="L29" i="17" s="1"/>
  <c r="I36" i="17"/>
  <c r="L36" i="17" s="1"/>
  <c r="F42" i="17"/>
  <c r="F34" i="17"/>
  <c r="F26" i="17"/>
  <c r="F18" i="17"/>
  <c r="F10" i="17"/>
  <c r="F41" i="17"/>
  <c r="F33" i="17"/>
  <c r="F25" i="17"/>
  <c r="F17" i="17"/>
  <c r="F9" i="17"/>
  <c r="G10" i="17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M9" i="4" l="1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<sst xmlns="http://schemas.openxmlformats.org/spreadsheetml/2006/main" count="1797" uniqueCount="1046">
  <si>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</si>
  <si>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</si>
  <si>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</si>
  <si>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</si>
  <si>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</si>
  <si>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</si>
  <si>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</si>
  <si>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</si>
  <si>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</si>
  <si>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</si>
  <si>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</si>
  <si>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</si>
  <si>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</si>
  <si>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</si>
  <si>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</si>
  <si>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</si>
  <si>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</si>
  <si>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</si>
  <si>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</si>
  <si>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</si>
  <si>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</si>
  <si>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</si>
  <si>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</si>
  <si>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</si>
  <si>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</si>
  <si>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</si>
  <si>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</si>
  <si>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</si>
  <si>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</si>
  <si>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</si>
  <si>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</si>
  <si>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</si>
  <si>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</si>
  <si>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</si>
  <si>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</si>
  <si>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</si>
  <si>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</si>
  <si>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</si>
  <si>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</si>
  <si>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ROUND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</si>
  <si>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</si>
  <si>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</si>
  <si>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</si>
  <si>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</si>
  <si>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</si>
  <si>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</si>
  <si>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</si>
  <si>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</si>
  <si>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</si>
  <si>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</si>
  <si>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</si>
  <si>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</si>
  <si>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</si>
  <si>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</si>
  <si>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</si>
  <si>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</si>
  <si>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</si>
  <si>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</si>
  <si>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</si>
  <si>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</si>
  <si>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</si>
  <si>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</si>
  <si>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</si>
  <si>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</si>
  <si>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</si>
  <si>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</si>
  <si>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</si>
  <si>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</si>
  <si>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</si>
  <si>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</si>
  <si>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</si>
  <si>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</si>
  <si>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</si>
  <si>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</si>
  <si>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</si>
  <si>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</si>
  <si>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</si>
  <si>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</si>
  <si>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</si>
  <si>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</si>
  <si>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</si>
  <si>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</si>
  <si>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</si>
  <si>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</si>
  <si>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</si>
  <si>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</si>
  <si>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</si>
  <si>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</si>
  <si>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</si>
  <si>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</si>
  <si>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</si>
  <si>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</si>
  <si>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</si>
  <si>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</si>
  <si>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</si>
  <si>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</si>
  <si>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</si>
  <si>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</si>
  <si>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</si>
  <si>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</si>
  <si>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</si>
  <si>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</si>
  <si>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</si>
  <si>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</si>
  <si>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</si>
  <si>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</si>
  <si>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</si>
  <si>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</si>
  <si>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</si>
  <si>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</si>
  <si>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</si>
  <si>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</si>
  <si>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</si>
  <si>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</si>
  <si>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</si>
  <si>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</si>
  <si>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</si>
  <si>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</si>
  <si>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</si>
  <si>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</si>
  <si>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</si>
  <si>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</si>
  <si>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</si>
  <si>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</si>
  <si>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</si>
  <si>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</si>
  <si>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</si>
  <si>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</si>
  <si>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</si>
  <si>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</si>
  <si>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</si>
  <si>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</si>
  <si>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</si>
  <si>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</si>
  <si>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</si>
  <si>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</si>
  <si>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</si>
  <si>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</si>
  <si>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</si>
  <si>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</si>
  <si>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</si>
  <si>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</si>
  <si>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</si>
  <si>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</si>
  <si>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</si>
  <si>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</si>
  <si>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</si>
  <si>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</si>
  <si>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</si>
  <si>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</si>
  <si>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</si>
  <si>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</si>
  <si>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</si>
  <si>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</si>
  <si>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</si>
  <si>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</si>
  <si>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</si>
  <si>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</si>
  <si>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</si>
  <si>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</si>
  <si>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</si>
  <si>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</si>
  <si>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</si>
  <si>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</si>
  <si>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</si>
  <si>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</si>
  <si>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</si>
  <si>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</si>
  <si>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</si>
  <si>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</si>
  <si>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</si>
  <si>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</si>
  <si>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</si>
  <si>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</si>
  <si>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</si>
  <si>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</si>
  <si>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</si>
  <si>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</si>
  <si>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</si>
  <si>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</si>
  <si>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</si>
  <si>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descentmk343mm</t>
  </si>
  <si>
    <t>descentmk351mm</t>
  </si>
  <si>
    <t>enduro3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</si>
  <si>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</si>
  <si>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</si>
  <si>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</si>
  <si>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</si>
  <si>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</si>
  <si>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</si>
  <si>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</si>
  <si>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</si>
  <si>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</si>
  <si>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</si>
  <si>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</si>
  <si>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</si>
  <si>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</si>
  <si>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</si>
  <si>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</si>
  <si>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</si>
  <si>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</si>
  <si>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</si>
  <si>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</si>
  <si>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</si>
  <si>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</si>
  <si>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</si>
  <si>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</si>
  <si>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</si>
  <si>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</si>
  <si>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</si>
  <si>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</si>
  <si>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</si>
  <si>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</si>
  <si>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</si>
  <si>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</si>
  <si>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</si>
  <si>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</si>
  <si>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</si>
  <si>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</si>
  <si>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</si>
  <si>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</si>
  <si>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</si>
  <si>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</si>
  <si>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</si>
  <si>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</si>
  <si>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</si>
  <si>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</si>
  <si>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</si>
  <si>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</si>
  <si>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</si>
  <si>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</si>
  <si>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</si>
  <si>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</si>
  <si>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</si>
  <si>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</si>
  <si>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fenix8pro47mm</t>
  </si>
  <si>
    <t>skull</t>
  </si>
  <si>
    <t>id="1ee06aba-c20a-4e58-96a4-f9df1f69b3e4"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</si>
  <si>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</si>
  <si>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</si>
  <si>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</si>
  <si>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</si>
  <si>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</si>
  <si>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</si>
  <si>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</si>
  <si>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</si>
  <si>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</si>
  <si>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</si>
  <si>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</si>
  <si>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</si>
  <si>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</si>
  <si>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</si>
  <si>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</si>
  <si>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</si>
  <si>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</si>
  <si>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</si>
  <si>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</si>
  <si>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</si>
  <si>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</si>
  <si>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</si>
  <si>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</si>
  <si>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</si>
  <si>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</si>
  <si>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</si>
  <si>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</si>
  <si>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</si>
  <si>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</si>
  <si>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</si>
  <si>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</si>
  <si>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</si>
  <si>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</si>
  <si>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</si>
  <si>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</si>
  <si>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</si>
  <si>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</si>
  <si>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</si>
  <si>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</si>
  <si>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</si>
  <si>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</si>
  <si>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</si>
  <si>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</si>
  <si>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</si>
  <si>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</si>
  <si>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</si>
  <si>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</si>
  <si>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</si>
  <si>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</si>
  <si>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</si>
  <si>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</si>
  <si>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</si>
  <si>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</si>
  <si>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</si>
  <si>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</si>
  <si>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</si>
  <si>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</si>
  <si>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</si>
  <si>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</si>
  <si>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</si>
  <si>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</si>
  <si>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</si>
  <si>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</si>
  <si>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</si>
  <si>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</si>
  <si>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</si>
  <si>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</si>
  <si>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</si>
  <si>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</si>
  <si>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</si>
  <si>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</si>
  <si>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</si>
  <si>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</si>
  <si>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</si>
  <si>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</si>
  <si>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</si>
  <si>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</si>
  <si>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</si>
  <si>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</si>
  <si>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</si>
  <si>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</si>
  <si>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</si>
  <si>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</si>
  <si>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</si>
  <si>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</si>
  <si>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</si>
  <si>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</si>
  <si>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</si>
  <si>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</si>
  <si>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</si>
  <si>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</si>
  <si>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</si>
  <si>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</si>
  <si>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</si>
  <si>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</si>
  <si>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</si>
  <si>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</si>
  <si>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</si>
  <si>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</si>
  <si>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</si>
  <si>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</si>
  <si>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</si>
  <si>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</si>
  <si>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</si>
  <si>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</si>
  <si>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</si>
  <si>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</si>
  <si>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</si>
  <si>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</si>
  <si>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</si>
  <si>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</si>
  <si>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</si>
  <si>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</si>
  <si>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</si>
  <si>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</si>
  <si>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</si>
  <si>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</si>
  <si>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</si>
  <si>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</si>
  <si>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</si>
  <si>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</si>
  <si>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</si>
  <si>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</si>
  <si>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</si>
  <si>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</si>
  <si>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</si>
  <si>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</si>
  <si>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</si>
  <si>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</si>
  <si>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</si>
  <si>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</si>
  <si>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</si>
  <si>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</si>
  <si>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</si>
  <si>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</si>
  <si>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</si>
  <si>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</si>
  <si>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</si>
  <si>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</si>
  <si>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</si>
  <si>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</si>
  <si>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</si>
  <si>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</si>
  <si>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</si>
  <si>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</si>
  <si>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</si>
  <si>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</si>
  <si>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</si>
  <si>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</si>
  <si>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</si>
  <si>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</si>
  <si>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</si>
  <si>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</si>
  <si>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</si>
  <si>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</si>
  <si>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</si>
  <si>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</si>
  <si>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</si>
  <si>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</si>
  <si>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</si>
  <si>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</si>
  <si>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</si>
  <si>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</si>
  <si>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</si>
  <si>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</si>
  <si>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</si>
  <si>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</si>
  <si>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</si>
  <si>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</si>
  <si>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</si>
  <si>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</si>
  <si>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</si>
  <si>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</si>
  <si>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</si>
  <si>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</si>
  <si>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</si>
  <si>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</si>
  <si>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</si>
  <si>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</si>
  <si>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</si>
  <si>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</si>
  <si>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</si>
  <si>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</si>
  <si>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</si>
  <si>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</si>
  <si>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</si>
  <si>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</si>
  <si>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</si>
  <si>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</si>
  <si>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</si>
  <si>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</si>
  <si>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</si>
  <si>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</si>
  <si>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</si>
  <si>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</si>
  <si>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</si>
  <si>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</si>
  <si>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</si>
  <si>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</si>
  <si>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</si>
  <si>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</si>
  <si>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</si>
  <si>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</si>
  <si>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</si>
  <si>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</si>
  <si>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</si>
  <si>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</si>
  <si>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</si>
  <si>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</si>
  <si>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</si>
  <si>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</si>
  <si>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</si>
  <si>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</si>
  <si>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</si>
  <si>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</si>
  <si>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</si>
  <si>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</si>
  <si>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</si>
  <si>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</si>
  <si>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</si>
  <si>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</si>
  <si>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</si>
  <si>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</si>
  <si>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</si>
  <si>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</si>
  <si>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</si>
  <si>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</si>
  <si>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</si>
  <si>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</si>
  <si>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</si>
  <si>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</si>
  <si>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</si>
  <si>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</si>
  <si>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</si>
  <si>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</si>
  <si>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</si>
  <si>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</si>
  <si>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</si>
  <si>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</si>
  <si>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</si>
  <si>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</si>
  <si>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</si>
  <si>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</si>
  <si>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</si>
  <si>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</si>
  <si>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</si>
  <si>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</si>
  <si>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</si>
  <si>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</si>
  <si>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</si>
  <si>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</si>
  <si>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</si>
  <si>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</si>
  <si>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</si>
  <si>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</si>
  <si>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</si>
  <si>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</si>
  <si>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</si>
  <si>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</si>
  <si>
    <t>worldWidePartNumber</t>
  </si>
  <si>
    <t>ApproachÂ® S50</t>
  </si>
  <si>
    <t>006-B4656-00</t>
  </si>
  <si>
    <t>ApproachÂ® S60</t>
  </si>
  <si>
    <t>006-B2656-00</t>
  </si>
  <si>
    <t>ApproachÂ® S62</t>
  </si>
  <si>
    <t>006-B3393-00</t>
  </si>
  <si>
    <t>ApproachÂ® S70 42mm</t>
  </si>
  <si>
    <t>006-B4233-00</t>
  </si>
  <si>
    <t>ApproachÂ® S70 47mm</t>
  </si>
  <si>
    <t>006-B4234-00</t>
  </si>
  <si>
    <t>D2â„¢ Air</t>
  </si>
  <si>
    <t>006-B2187-00</t>
  </si>
  <si>
    <t>D2â„¢ Air X10</t>
  </si>
  <si>
    <t>006-B4125-00</t>
  </si>
  <si>
    <t>D2â„¢ Bravo</t>
  </si>
  <si>
    <t>006-B2262-00</t>
  </si>
  <si>
    <t>D2â„¢ Bravo Titanium</t>
  </si>
  <si>
    <t>006-B2547-00</t>
  </si>
  <si>
    <t>D2â„¢ Charlie</t>
  </si>
  <si>
    <t>006-B2819-00</t>
  </si>
  <si>
    <t>D2â„¢ Delta</t>
  </si>
  <si>
    <t>006-B3197-00</t>
  </si>
  <si>
    <t>D2â„¢ Delta PX</t>
  </si>
  <si>
    <t>006-B3198-00</t>
  </si>
  <si>
    <t>D2â„¢ Delta S</t>
  </si>
  <si>
    <t>006-B3196-00</t>
  </si>
  <si>
    <t>D2â„¢ Mach 1</t>
  </si>
  <si>
    <t>5.2.0</t>
  </si>
  <si>
    <t>006-B4079-00</t>
  </si>
  <si>
    <t>d2mach2</t>
  </si>
  <si>
    <t>D2â„¢ Mach 2</t>
  </si>
  <si>
    <t>006-B4879-00</t>
  </si>
  <si>
    <t>d2mach2pro</t>
  </si>
  <si>
    <t>D2â„¢ Mach 2 Pro</t>
  </si>
  <si>
    <t>6.0.0</t>
  </si>
  <si>
    <t>006-B5056-00</t>
  </si>
  <si>
    <t>descentg1</t>
  </si>
  <si>
    <t>Descentâ„¢ G1 / G1 Solar</t>
  </si>
  <si>
    <t>semioctagon-176x176</t>
  </si>
  <si>
    <t>3.4.0</t>
  </si>
  <si>
    <t>006-B4005-00</t>
  </si>
  <si>
    <t>Descentâ„¢ G2</t>
  </si>
  <si>
    <t>006-B4588-00</t>
  </si>
  <si>
    <t>Descentâ„¢ Mk1</t>
  </si>
  <si>
    <t>006-B2859-00</t>
  </si>
  <si>
    <t>Descentâ„¢ Mk2 / Mk2i</t>
  </si>
  <si>
    <t>006-B3258-00</t>
  </si>
  <si>
    <t>Descentâ„¢ Mk2 S</t>
  </si>
  <si>
    <t>006-B3542-00</t>
  </si>
  <si>
    <t>Descentâ„¢ Mk3 43mm / Mk3i 43mm</t>
  </si>
  <si>
    <t>006-B4222-00</t>
  </si>
  <si>
    <t>Descentâ„¢ Mk3i 51mm</t>
  </si>
  <si>
    <t>006-B4223-00</t>
  </si>
  <si>
    <t>edge1030</t>
  </si>
  <si>
    <t>EdgeÂ® 1030</t>
  </si>
  <si>
    <t>rectangle-282x470</t>
  </si>
  <si>
    <t>lcd</t>
  </si>
  <si>
    <t>006-B2713-00</t>
  </si>
  <si>
    <t>edge1030bontrager</t>
  </si>
  <si>
    <t>EdgeÂ® 1030 / Bontrager</t>
  </si>
  <si>
    <t>006-B3095-00</t>
  </si>
  <si>
    <t>edge1030plus</t>
  </si>
  <si>
    <t>EdgeÂ® 1030 Plus</t>
  </si>
  <si>
    <t>006-B3570-00</t>
  </si>
  <si>
    <t>edge1040</t>
  </si>
  <si>
    <t>EdgeÂ® 1040 / 1040 Solar</t>
  </si>
  <si>
    <t>006-B3843-00</t>
  </si>
  <si>
    <t>edge1050</t>
  </si>
  <si>
    <t>EdgeÂ® 1050</t>
  </si>
  <si>
    <t>rectangle-480x800</t>
  </si>
  <si>
    <t>006-B4440-00</t>
  </si>
  <si>
    <t>edge130</t>
  </si>
  <si>
    <t>EdgeÂ® 130</t>
  </si>
  <si>
    <t>rectangle-230x303</t>
  </si>
  <si>
    <t>3.1.1</t>
  </si>
  <si>
    <t>006-B2909-00</t>
  </si>
  <si>
    <t>edge130plus</t>
  </si>
  <si>
    <t>EdgeÂ® 130 Plus</t>
  </si>
  <si>
    <t>006-B3558-00</t>
  </si>
  <si>
    <t>edge520plus</t>
  </si>
  <si>
    <t>EdgeÂ® 520 Plus</t>
  </si>
  <si>
    <t>rectangle-200x265</t>
  </si>
  <si>
    <t>3.1.3</t>
  </si>
  <si>
    <t>006-B3112-00</t>
  </si>
  <si>
    <t>edge530</t>
  </si>
  <si>
    <t>EdgeÂ® 530</t>
  </si>
  <si>
    <t>rectangle-246x322</t>
  </si>
  <si>
    <t>006-B3121-00</t>
  </si>
  <si>
    <t>edge540</t>
  </si>
  <si>
    <t>EdgeÂ® 540 / 540 Solar</t>
  </si>
  <si>
    <t>006-B4061-00</t>
  </si>
  <si>
    <t>edge550</t>
  </si>
  <si>
    <t>EdgeÂ® 550</t>
  </si>
  <si>
    <t>rectangle-420x600</t>
  </si>
  <si>
    <t>006-B4633-00</t>
  </si>
  <si>
    <t>edge820</t>
  </si>
  <si>
    <t>EdgeÂ® 820 / Explore</t>
  </si>
  <si>
    <t>006-B2530-00</t>
  </si>
  <si>
    <t>edge830</t>
  </si>
  <si>
    <t>EdgeÂ® 830</t>
  </si>
  <si>
    <t>006-B3122-00</t>
  </si>
  <si>
    <t>edge840</t>
  </si>
  <si>
    <t>EdgeÂ® 840 / 840 Solar</t>
  </si>
  <si>
    <t>006-B4062-00</t>
  </si>
  <si>
    <t>edge850</t>
  </si>
  <si>
    <t>EdgeÂ® 850</t>
  </si>
  <si>
    <t>006-B4634-00</t>
  </si>
  <si>
    <t>edgeexplore</t>
  </si>
  <si>
    <t>EdgeÂ® Explore</t>
  </si>
  <si>
    <t>rectangle-240x400</t>
  </si>
  <si>
    <t>006-B3011-00</t>
  </si>
  <si>
    <t>edgeexplore2</t>
  </si>
  <si>
    <t>EdgeÂ® Explore 2</t>
  </si>
  <si>
    <t>006-B4169-00</t>
  </si>
  <si>
    <t>edgemtb</t>
  </si>
  <si>
    <t>EdgeÂ® MTB</t>
  </si>
  <si>
    <t>rectangle-240x320</t>
  </si>
  <si>
    <t>006-B4655-00</t>
  </si>
  <si>
    <t>edge_1000</t>
  </si>
  <si>
    <t>EdgeÂ® 1000 / Explore</t>
  </si>
  <si>
    <t>006-B1836-00</t>
  </si>
  <si>
    <t>edge_520</t>
  </si>
  <si>
    <t>EdgeÂ® 520</t>
  </si>
  <si>
    <t>006-B2067-00</t>
  </si>
  <si>
    <t>Enduroâ„¢</t>
  </si>
  <si>
    <t>006-B3638-00</t>
  </si>
  <si>
    <t>Enduroâ„¢ 3</t>
  </si>
  <si>
    <t>006-B4575-00</t>
  </si>
  <si>
    <t>epix</t>
  </si>
  <si>
    <t>epixâ„¢</t>
  </si>
  <si>
    <t>rectangle-205x148</t>
  </si>
  <si>
    <t>1.2.1</t>
  </si>
  <si>
    <t>006-B1988-00</t>
  </si>
  <si>
    <t>epixâ„¢ (Gen 2) / quatixÂ® 7 Sapphire</t>
  </si>
  <si>
    <t>006-B3943-00</t>
  </si>
  <si>
    <t>epixâ„¢ Pro (Gen 2) 42mm</t>
  </si>
  <si>
    <t>006-B4312-00</t>
  </si>
  <si>
    <t>epixâ„¢ Pro (Gen 2) 47mm / quatixÂ® 7 Pro</t>
  </si>
  <si>
    <t>006-B4313-00</t>
  </si>
  <si>
    <t>epixâ„¢ Pro (Gen 2) 51mm / D2â„¢ Mach 1 Pro / tactixÂ® 7 â€“ AMOLED Edition</t>
  </si>
  <si>
    <t>006-B4314-00</t>
  </si>
  <si>
    <t>etrextouch</t>
  </si>
  <si>
    <t>eTrexÂ® Touch</t>
  </si>
  <si>
    <t>006-B4522-00</t>
  </si>
  <si>
    <t>fÄ“nixÂ® 3 / tactixÂ® Bravo / quatixÂ® 3</t>
  </si>
  <si>
    <t>006-B2050-00</t>
  </si>
  <si>
    <t>fÄ“nixÂ® 3 HR</t>
  </si>
  <si>
    <t>006-B2413-00</t>
  </si>
  <si>
    <t>fÄ“nixÂ® 5 / quatixÂ® 5</t>
  </si>
  <si>
    <t>006-B2697-00</t>
  </si>
  <si>
    <t>fÄ“nixÂ® 5 Plus</t>
  </si>
  <si>
    <t>006-B3110-00</t>
  </si>
  <si>
    <t>fÄ“nixÂ® 5S</t>
  </si>
  <si>
    <t>006-B2544-00</t>
  </si>
  <si>
    <t>fÄ“nixÂ® 5S Plus</t>
  </si>
  <si>
    <t>006-B2900-00</t>
  </si>
  <si>
    <t>fÄ“nixÂ® 5X / tactixÂ® Charlie</t>
  </si>
  <si>
    <t>006-B2604-00</t>
  </si>
  <si>
    <t>fÄ“nixÂ® 5X Plus</t>
  </si>
  <si>
    <t>006-B3111-00</t>
  </si>
  <si>
    <t>fÄ“nixÂ® 6 / 6 Solar / 6 Dual Power</t>
  </si>
  <si>
    <t>006-B3289-00</t>
  </si>
  <si>
    <t>fÄ“nixÂ® 6 Pro / 6 Sapphire / 6 Pro Solar / 6 Pro Dual Power / quatixÂ® 6</t>
  </si>
  <si>
    <t>006-B3290-00</t>
  </si>
  <si>
    <t>fÄ“nixÂ® 6S / 6S Solar / 6S Dual Power</t>
  </si>
  <si>
    <t>006-B3287-00</t>
  </si>
  <si>
    <t>fÄ“nixÂ® 6S Pro / 6S Sapphire / 6S Pro Solar / 6S Pro Dual Power</t>
  </si>
  <si>
    <t>006-B3288-00</t>
  </si>
  <si>
    <t>fÄ“nixÂ® 6X Pro / 6X Sapphire / 6X Pro Solar / tactixÂ® Delta Sapphire / Delta Solar / Delta Solar - Ballistics Edition / quatixÂ® 6X / 6X Solar / 6X Dual Power</t>
  </si>
  <si>
    <t>006-B3291-00</t>
  </si>
  <si>
    <t>fÄ“nixÂ® 7 / quatixÂ® 7</t>
  </si>
  <si>
    <t>006-B3906-00</t>
  </si>
  <si>
    <t>fÄ“nixÂ® 7 Pro</t>
  </si>
  <si>
    <t>006-B4375-00</t>
  </si>
  <si>
    <t>fÄ“nixÂ® 7 Pro - Solar Edition (no Wi-Fi)</t>
  </si>
  <si>
    <t>006-B4595-00</t>
  </si>
  <si>
    <t>fÄ“nixÂ® 7S</t>
  </si>
  <si>
    <t>006-B3905-00</t>
  </si>
  <si>
    <t>fÄ“nixÂ® 7S Pro</t>
  </si>
  <si>
    <t>006-B4374-00</t>
  </si>
  <si>
    <t>fÄ“nixÂ® 7X / tactixÂ® 7 / quatixÂ® 7X Solar / Enduroâ„¢ 2</t>
  </si>
  <si>
    <t>006-B3907-00</t>
  </si>
  <si>
    <t>fÄ“nixÂ® 7X Pro</t>
  </si>
  <si>
    <t>006-B4376-00</t>
  </si>
  <si>
    <t>fÄ“nixÂ® 7X Pro - Solar Edition (no Wi-Fi)</t>
  </si>
  <si>
    <t>006-B4596-00</t>
  </si>
  <si>
    <t>fÄ“nixÂ® 8 43mm</t>
  </si>
  <si>
    <t>006-B4534-00</t>
  </si>
  <si>
    <t>fÄ“nixÂ® 8 47mm / 51mm / tactixÂ® 8 47mm / 51mm / quatixÂ® 8 47mm / 51mm</t>
  </si>
  <si>
    <t>006-B4536-00</t>
  </si>
  <si>
    <t>fÄ“nixÂ® 8 Pro 47mm / 51mm / MicroLED / quatixÂ® 8 Pro 47mm / 51mm</t>
  </si>
  <si>
    <t>006-B4631-00</t>
  </si>
  <si>
    <t>fÄ“nixÂ® 8 Solar 47mm</t>
  </si>
  <si>
    <t>006-B4532-00</t>
  </si>
  <si>
    <t>fÄ“nixÂ® 8 Solar 51mm / tactixÂ® 8 Solar 51mm</t>
  </si>
  <si>
    <t>006-B4533-00</t>
  </si>
  <si>
    <t>fÄ“nixÂ® Chronos</t>
  </si>
  <si>
    <t>006-B2432-00</t>
  </si>
  <si>
    <t>fÄ“nixÂ® E</t>
  </si>
  <si>
    <t>006-B4666-00</t>
  </si>
  <si>
    <t>ForerunnerÂ® 165</t>
  </si>
  <si>
    <t>006-B4432-00</t>
  </si>
  <si>
    <t>ForerunnerÂ® 165 Music</t>
  </si>
  <si>
    <t>006-B4433-00</t>
  </si>
  <si>
    <t>fr170</t>
  </si>
  <si>
    <t>ForerunnerÂ® 170</t>
  </si>
  <si>
    <t>006-B4815-00</t>
  </si>
  <si>
    <t>fr170m</t>
  </si>
  <si>
    <t>ForerunnerÂ® 170 Music</t>
  </si>
  <si>
    <t>006-B4814-00</t>
  </si>
  <si>
    <t>ForerunnerÂ® 230</t>
  </si>
  <si>
    <t>006-B2157-00</t>
  </si>
  <si>
    <t>ForerunnerÂ® 235</t>
  </si>
  <si>
    <t>006-B2431-00</t>
  </si>
  <si>
    <t>ForerunnerÂ® 245</t>
  </si>
  <si>
    <t>006-B3076-00</t>
  </si>
  <si>
    <t>ForerunnerÂ® 245 Music</t>
  </si>
  <si>
    <t>006-B3077-00</t>
  </si>
  <si>
    <t>ForerunnerÂ® 255</t>
  </si>
  <si>
    <t>006-B3992-00</t>
  </si>
  <si>
    <t>ForerunnerÂ® 255 Music</t>
  </si>
  <si>
    <t>006-B3990-00</t>
  </si>
  <si>
    <t>ForerunnerÂ® 255s</t>
  </si>
  <si>
    <t>006-B3993-00</t>
  </si>
  <si>
    <t>ForerunnerÂ® 255s Music</t>
  </si>
  <si>
    <t>006-B3991-00</t>
  </si>
  <si>
    <t>ForerunnerÂ® 265</t>
  </si>
  <si>
    <t>006-B4257-00</t>
  </si>
  <si>
    <t>ForerunnerÂ® 265s</t>
  </si>
  <si>
    <t>006-B4258-00</t>
  </si>
  <si>
    <t>fr45</t>
  </si>
  <si>
    <t>ForerunnerÂ® 45</t>
  </si>
  <si>
    <t>round-208x208</t>
  </si>
  <si>
    <t>1.4.5</t>
  </si>
  <si>
    <t>006-B3282-00</t>
  </si>
  <si>
    <t>fr55</t>
  </si>
  <si>
    <t>ForerunnerÂ® 55</t>
  </si>
  <si>
    <t>006-B3869-00</t>
  </si>
  <si>
    <t>ForerunnerÂ® 570 42mm</t>
  </si>
  <si>
    <t>006-B4574-00</t>
  </si>
  <si>
    <t>ForerunnerÂ® 570 47mm</t>
  </si>
  <si>
    <t>006-B4570-00</t>
  </si>
  <si>
    <t>ForerunnerÂ® 630</t>
  </si>
  <si>
    <t>006-B2156-00</t>
  </si>
  <si>
    <t>ForerunnerÂ® 645</t>
  </si>
  <si>
    <t>006-B2886-00</t>
  </si>
  <si>
    <t>ForerunnerÂ® 645 Music</t>
  </si>
  <si>
    <t>006-B2888-00</t>
  </si>
  <si>
    <t>fr70</t>
  </si>
  <si>
    <t>ForerunnerÂ® 70</t>
  </si>
  <si>
    <t>006-B4916-00</t>
  </si>
  <si>
    <t>ForerunnerÂ® 735xt</t>
  </si>
  <si>
    <t>006-B2158-00</t>
  </si>
  <si>
    <t>ForerunnerÂ® 745</t>
  </si>
  <si>
    <t>006-B3589-00</t>
  </si>
  <si>
    <t>fr920xt</t>
  </si>
  <si>
    <t>ForerunnerÂ® 920XT</t>
  </si>
  <si>
    <t>006-B1765-00</t>
  </si>
  <si>
    <t>ForerunnerÂ® 935</t>
  </si>
  <si>
    <t>006-B2691-00</t>
  </si>
  <si>
    <t>ForerunnerÂ® 945</t>
  </si>
  <si>
    <t>006-B3113-00</t>
  </si>
  <si>
    <t>ForerunnerÂ® 945 LTE</t>
  </si>
  <si>
    <t>006-B3652-00</t>
  </si>
  <si>
    <t>ForerunnerÂ® 955 / Solar</t>
  </si>
  <si>
    <t>006-B4024-00</t>
  </si>
  <si>
    <t>ForerunnerÂ® 965</t>
  </si>
  <si>
    <t>006-B4315-00</t>
  </si>
  <si>
    <t>ForerunnerÂ® 970</t>
  </si>
  <si>
    <t>006-B4565-00</t>
  </si>
  <si>
    <t>garminswim2</t>
  </si>
  <si>
    <t>Garmin Swimâ„¢ 2</t>
  </si>
  <si>
    <t>006-B3405-00</t>
  </si>
  <si>
    <t>gpsmap66</t>
  </si>
  <si>
    <t>GPSMAPÂ® 66s / 66i / 66sr / 66st</t>
  </si>
  <si>
    <t>006-B3028-00</t>
  </si>
  <si>
    <t>gpsmap67</t>
  </si>
  <si>
    <t>GPSMAPÂ® 67 / 67i</t>
  </si>
  <si>
    <t>006-B4336-00</t>
  </si>
  <si>
    <t>gpsmap86</t>
  </si>
  <si>
    <t>GPSMAPÂ® 86s / 86sc / 86i / 86sci</t>
  </si>
  <si>
    <t>3.0.8</t>
  </si>
  <si>
    <t>006-B3452-00</t>
  </si>
  <si>
    <t>gpsmaph1</t>
  </si>
  <si>
    <t>GPSMAPÂ® H1 / H1i Plus</t>
  </si>
  <si>
    <t>006-B4552-00</t>
  </si>
  <si>
    <t>instinct2</t>
  </si>
  <si>
    <t>InstinctÂ® 2 / Solar / Dual Power / dÄ“zl Edition</t>
  </si>
  <si>
    <t>006-B3888-00</t>
  </si>
  <si>
    <t>instinct2s</t>
  </si>
  <si>
    <t>InstinctÂ® 2S / Solar / Dual Power</t>
  </si>
  <si>
    <t>semioctagon-163x156</t>
  </si>
  <si>
    <t>006-B3889-00</t>
  </si>
  <si>
    <t>instinct2x</t>
  </si>
  <si>
    <t>InstinctÂ® 2X Solar</t>
  </si>
  <si>
    <t>006-B4394-00</t>
  </si>
  <si>
    <t>InstinctÂ® 3 AMOLED 45mm</t>
  </si>
  <si>
    <t>006-B4586-00</t>
  </si>
  <si>
    <t>InstinctÂ® 3 AMOLED 50mm</t>
  </si>
  <si>
    <t>006-B4587-00</t>
  </si>
  <si>
    <t>instinct3solar45mm</t>
  </si>
  <si>
    <t>InstinctÂ® 3 Solar 45mm / 50mm</t>
  </si>
  <si>
    <t>006-B4585-00</t>
  </si>
  <si>
    <t>instinctcrossover</t>
  </si>
  <si>
    <t>InstinctÂ® Crossover</t>
  </si>
  <si>
    <t>006-B4155-00</t>
  </si>
  <si>
    <t>instinctcrossoveramoled</t>
  </si>
  <si>
    <t>InstinctÂ® Crossover AMOLED</t>
  </si>
  <si>
    <t>006-B4678-00</t>
  </si>
  <si>
    <t>instincte40mm</t>
  </si>
  <si>
    <t>InstinctÂ® E 40mm</t>
  </si>
  <si>
    <t>semioctagon-166x166</t>
  </si>
  <si>
    <t>006-B4583-00</t>
  </si>
  <si>
    <t>instincte45mm</t>
  </si>
  <si>
    <t>InstinctÂ® E 45mm</t>
  </si>
  <si>
    <t>006-B4584-00</t>
  </si>
  <si>
    <t>006-B3500-00</t>
  </si>
  <si>
    <t>006-B3501-00</t>
  </si>
  <si>
    <t>Darth Vaderâ„¢</t>
  </si>
  <si>
    <t>006-B3499-00</t>
  </si>
  <si>
    <t>Reyâ„¢</t>
  </si>
  <si>
    <t>006-B3498-00</t>
  </si>
  <si>
    <t>MARQÂ® (Gen 2) Athlete / Adventurer / Captain / Golfer / Carbon Edition / Commander - Carbon Edition</t>
  </si>
  <si>
    <t>006-B4105-00</t>
  </si>
  <si>
    <t>MARQÂ® (Gen 2) Aviator</t>
  </si>
  <si>
    <t>006-B4124-00</t>
  </si>
  <si>
    <t>MARQÂ® Adventurer</t>
  </si>
  <si>
    <t>006-B3624-00</t>
  </si>
  <si>
    <t>MARQÂ® Athlete</t>
  </si>
  <si>
    <t>006-B3251-00</t>
  </si>
  <si>
    <t>MARQÂ® Aviator</t>
  </si>
  <si>
    <t>006-B3247-00</t>
  </si>
  <si>
    <t>MARQÂ® Captain / MARQÂ® Captain: American Magic Edition</t>
  </si>
  <si>
    <t>006-B3248-00</t>
  </si>
  <si>
    <t>MARQÂ® Commander</t>
  </si>
  <si>
    <t>006-B3249-00</t>
  </si>
  <si>
    <t>MARQÂ® Driver</t>
  </si>
  <si>
    <t>006-B3246-00</t>
  </si>
  <si>
    <t>MARQÂ® Expedition</t>
  </si>
  <si>
    <t>006-B3250-00</t>
  </si>
  <si>
    <t>MARQÂ® Golfer</t>
  </si>
  <si>
    <t>006-B3739-00</t>
  </si>
  <si>
    <t>montana7xx</t>
  </si>
  <si>
    <t>MontanaÂ® 7 Series</t>
  </si>
  <si>
    <t>3.2.5</t>
  </si>
  <si>
    <t>006-B3459-00</t>
  </si>
  <si>
    <t>oregon7xx</t>
  </si>
  <si>
    <t>OregonÂ® 7 Series</t>
  </si>
  <si>
    <t>006-B2512-00</t>
  </si>
  <si>
    <t>rino7xx</t>
  </si>
  <si>
    <t>RinoÂ® 7 Series</t>
  </si>
  <si>
    <t>006-B2444-00</t>
  </si>
  <si>
    <t>VenuÂ®</t>
  </si>
  <si>
    <t>006-B3226-00</t>
  </si>
  <si>
    <t>VenuÂ® 2</t>
  </si>
  <si>
    <t>006-B3703-00</t>
  </si>
  <si>
    <t>VenuÂ® 2 Plus</t>
  </si>
  <si>
    <t>006-B3851-00</t>
  </si>
  <si>
    <t>VenuÂ® 2S</t>
  </si>
  <si>
    <t>006-B3704-00</t>
  </si>
  <si>
    <t>VenuÂ® 3</t>
  </si>
  <si>
    <t>006-B4260-00</t>
  </si>
  <si>
    <t>VenuÂ® 3S</t>
  </si>
  <si>
    <t>006-B4261-00</t>
  </si>
  <si>
    <t>VenuÂ® 4 41mm</t>
  </si>
  <si>
    <t>006-B4644-00</t>
  </si>
  <si>
    <t>VenuÂ® 4 45mm / D2â„¢ Air X15</t>
  </si>
  <si>
    <t>006-B4643-00</t>
  </si>
  <si>
    <t>VenuÂ® Mercedes-BenzÂ® Collection</t>
  </si>
  <si>
    <t>006-B3740-00</t>
  </si>
  <si>
    <t>venusq</t>
  </si>
  <si>
    <t>VenuÂ® Sq</t>
  </si>
  <si>
    <t>rectangle-240x240</t>
  </si>
  <si>
    <t>3.3.6</t>
  </si>
  <si>
    <t>006-B3600-00</t>
  </si>
  <si>
    <t>venusq2</t>
  </si>
  <si>
    <t>VenuÂ® Sq 2</t>
  </si>
  <si>
    <t>rectangle-320x360</t>
  </si>
  <si>
    <t>006-B4115-00</t>
  </si>
  <si>
    <t>venusq2m</t>
  </si>
  <si>
    <t>VenuÂ® Sq 2 Music</t>
  </si>
  <si>
    <t>006-B4116-00</t>
  </si>
  <si>
    <t>venusqm</t>
  </si>
  <si>
    <t>VenuÂ® Sq. Music Edition</t>
  </si>
  <si>
    <t>006-B3596-00</t>
  </si>
  <si>
    <t>venux1</t>
  </si>
  <si>
    <t>VenuÂ® X1</t>
  </si>
  <si>
    <t>rectangle-448x486</t>
  </si>
  <si>
    <t>006-B4603-00</t>
  </si>
  <si>
    <t>vivoactive</t>
  </si>
  <si>
    <t>vÃ­voactiveÂ®</t>
  </si>
  <si>
    <t>1.4.2</t>
  </si>
  <si>
    <t>006-B1907-00</t>
  </si>
  <si>
    <t>vÃ­voactiveÂ® 3</t>
  </si>
  <si>
    <t>006-B2700-00</t>
  </si>
  <si>
    <t>vÃ­voactiveÂ® 3 Mercedes-BenzÂ® Collection</t>
  </si>
  <si>
    <t>006-B3473-00</t>
  </si>
  <si>
    <t>vÃ­voactiveÂ® 3 Music</t>
  </si>
  <si>
    <t>006-B2988-00</t>
  </si>
  <si>
    <t>vÃ­voactiveÂ® 3 Music LTE</t>
  </si>
  <si>
    <t>006-B3066-00</t>
  </si>
  <si>
    <t>vÃ­voactiveÂ® 4</t>
  </si>
  <si>
    <t>006-B3225-00</t>
  </si>
  <si>
    <t>vÃ­voactiveÂ® 4S</t>
  </si>
  <si>
    <t>006-B3224-00</t>
  </si>
  <si>
    <t>vÃ­voactiveÂ® 5</t>
  </si>
  <si>
    <t>006-B4426-00</t>
  </si>
  <si>
    <t>vÃ­voactiveÂ® 6</t>
  </si>
  <si>
    <t>006-B4625-00</t>
  </si>
  <si>
    <t>vivoactive_hr</t>
  </si>
  <si>
    <t>vÃ­voactiveÂ® HR</t>
  </si>
  <si>
    <t>rectangle-148x205</t>
  </si>
  <si>
    <t>006-B2337-00</t>
  </si>
  <si>
    <t>Manifest</t>
  </si>
  <si>
    <t>Supported devices for GetVectorFont</t>
  </si>
  <si>
    <t>            &lt;iq:product id="approachs7042mm"/&gt;</t>
  </si>
  <si>
    <t>            &lt;iq:product id="approachs7047mm"/&gt;</t>
  </si>
  <si>
    <t>            &lt;iq:product id="d2mach1"/&gt;</t>
  </si>
  <si>
    <t>D2™ Mach 2 Pro</t>
  </si>
  <si>
    <t>            &lt;iq:product id="d2mach2"/&gt;</t>
  </si>
  <si>
    <t>            &lt;iq:product id="d2mach2pro"/&gt;</t>
  </si>
  <si>
    <t>            &lt;iq:product id="descentmk343mm"/&gt;</t>
  </si>
  <si>
    <t>            &lt;iq:product id="descentmk351mm"/&gt;</t>
  </si>
  <si>
    <t>            &lt;iq:product id="enduro3"/&gt;</t>
  </si>
  <si>
    <t>            &lt;iq:product id="epix2"/&gt;</t>
  </si>
  <si>
    <t>            &lt;iq:product id="epix2pro42mm"/&gt;</t>
  </si>
  <si>
    <t>            &lt;iq:product id="epix2pro47mm"/&gt;</t>
  </si>
  <si>
    <t>            &lt;iq:product id="epix2pro51mm"/&gt;</t>
  </si>
  <si>
    <t>Rectangle</t>
  </si>
  <si>
    <t>            &lt;iq:product id="fenix7"/&gt;</t>
  </si>
  <si>
    <t>            &lt;iq:product id="fenix7pro"/&gt;</t>
  </si>
  <si>
    <t>            &lt;iq:product id="fenix7pronowifi"/&gt;</t>
  </si>
  <si>
    <t>            &lt;iq:product id="fenix7s"/&gt;</t>
  </si>
  <si>
    <t>            &lt;iq:product id="fenix7spro"/&gt;</t>
  </si>
  <si>
    <t>            &lt;iq:product id="fenix7x"/&gt;</t>
  </si>
  <si>
    <t>            &lt;iq:product id="fenix7xpro"/&gt;</t>
  </si>
  <si>
    <t>            &lt;iq:product id="fenix7xpronowifi"/&gt;</t>
  </si>
  <si>
    <t>            &lt;iq:product id="fenix843mm"/&gt;</t>
  </si>
  <si>
    <t>            &lt;iq:product id="fenix847mm"/&gt;</t>
  </si>
  <si>
    <t>            &lt;iq:product id="fenix8pro47mm"/&gt;</t>
  </si>
  <si>
    <t>            &lt;iq:product id="fenix8solar47mm"/&gt;</t>
  </si>
  <si>
    <t>            &lt;iq:product id="fenix8solar51mm"/&gt;</t>
  </si>
  <si>
    <t>            &lt;iq:product id="fenixe"/&gt;</t>
  </si>
  <si>
    <t>            &lt;iq:product id="fr165"/&gt;</t>
  </si>
  <si>
    <t>            &lt;iq:product id="fr165m"/&gt;</t>
  </si>
  <si>
    <t>Forerunner® 170 Music</t>
  </si>
  <si>
    <t>            &lt;iq:product id="fr170"/&gt;</t>
  </si>
  <si>
    <t>Forerunner® 170</t>
  </si>
  <si>
    <t>            &lt;iq:product id="fr170m"/&gt;</t>
  </si>
  <si>
    <t>            &lt;iq:product id="fr265"/&gt;</t>
  </si>
  <si>
    <t>            &lt;iq:product id="fr265s"/&gt;</t>
  </si>
  <si>
    <t>            &lt;iq:product id="fr57042mm"/&gt;</t>
  </si>
  <si>
    <t>            &lt;iq:product id="fr57047mm"/&gt;</t>
  </si>
  <si>
    <t>Forerunner® 70</t>
  </si>
  <si>
    <t>            &lt;iq:product id="fr70"/&gt;</t>
  </si>
  <si>
    <t>            &lt;iq:product id="fr955"/&gt;</t>
  </si>
  <si>
    <t>            &lt;iq:product id="fr965"/&gt;</t>
  </si>
  <si>
    <t>            &lt;iq:product id="fr970"/&gt;</t>
  </si>
  <si>
    <t>            &lt;iq:product id="marq2"/&gt;</t>
  </si>
  <si>
    <t>            &lt;iq:product id="marq2aviator"/&gt;</t>
  </si>
  <si>
    <t>            &lt;iq:product id="venu3"/&gt;</t>
  </si>
  <si>
    <t>            &lt;iq:product id="venu3s"/&gt;</t>
  </si>
  <si>
    <t>            &lt;iq:product id="venu441mm"/&gt;</t>
  </si>
  <si>
    <t>            &lt;iq:product id="venu445mm"/&gt;</t>
  </si>
  <si>
    <t>            &lt;iq:product id="vivoactive6"/&gt;</t>
  </si>
  <si>
    <t>deltax</t>
  </si>
  <si>
    <t>D:\gduriez\Perso\Dossiers\DossiersVS\ProjectsWatch</t>
  </si>
  <si>
    <t>page id=0   file="AllIcons.png"</t>
  </si>
  <si>
    <t>common lineHeight=50 base=1 scaleW=1 scaleH=1 pages=1 packed=0 alphaChnl=0 redChnl=4 greenChnl=4 blueChnl=4</t>
  </si>
  <si>
    <t>char id=65    x=0       y=0     width=50  height=50   xoffset=0    yoffset=0    xadvance=50    page=0  chnl=15</t>
  </si>
  <si>
    <t>char id=66    x=50       y=0     width=50  height=50   xoffset=0    yoffset=0    xadvance=50    page=0  chnl=15</t>
  </si>
  <si>
    <t>char id=67    x=100       y=0     width=50  height=50   xoffset=0    yoffset=0    xadvance=50    page=0  chnl=15</t>
  </si>
  <si>
    <t>char id=68    x=150       y=0     width=50  height=50   xoffset=0    yoffset=0    xadvance=50    page=0  chnl=15</t>
  </si>
  <si>
    <t>char id=69    x=200       y=0     width=50  height=50   xoffset=0    yoffset=0    xadvance=50    page=0  chnl=15</t>
  </si>
  <si>
    <t>char id=70    x=250       y=0     width=50  height=50   xoffset=0    yoffset=0    xadvance=50    page=0  chnl=15</t>
  </si>
  <si>
    <t>char id=71    x=300       y=0     width=50  height=50   xoffset=0    yoffset=0    xadvance=50    page=0  chnl=15</t>
  </si>
  <si>
    <t>char id=72    x=350       y=0     width=50  height=50   xoffset=0    yoffset=0    xadvance=50    page=0  chnl=15</t>
  </si>
  <si>
    <t>char id=73    x=400       y=0     width=50  height=50   xoffset=0    yoffset=0    xadvance=50    page=0  chnl=15</t>
  </si>
  <si>
    <t>char id=74    x=450       y=0     width=50  height=50   xoffset=0    yoffset=0    xadvance=50    page=0  chnl=15</t>
  </si>
  <si>
    <t>char id=75    x=500       y=0     width=50  height=50   xoffset=0    yoffset=0    xadvance=50    page=0  chnl=15</t>
  </si>
  <si>
    <t>char id=76    x=550       y=0     width=50  height=50   xoffset=0    yoffset=0    xadvance=50    page=0  chnl=15</t>
  </si>
  <si>
    <t>char id=77    x=600       y=0     width=50  height=50   xoffset=0    yoffset=0    xadvance=50    page=0  chnl=15</t>
  </si>
  <si>
    <t>char id=78    x=650       y=0     width=50  height=50   xoffset=0    yoffset=0    xadvance=50    page=0  chnl=15</t>
  </si>
  <si>
    <t>char id=79    x=700       y=0     width=50  height=50   xoffset=0    yoffset=0    xadvance=50    page=0  chnl=15</t>
  </si>
  <si>
    <t>char id=80    x=750       y=0     width=50  height=50   xoffset=0    yoffset=0    xadvance=50    page=0  chnl=15</t>
  </si>
  <si>
    <t>char id=81    x=800       y=0     width=50  height=50   xoffset=0    yoffset=0    xadvance=50    page=0  chnl=15</t>
  </si>
  <si>
    <t>char id=82    x=850       y=0     width=50  height=50   xoffset=0    yoffset=0    xadvance=50    page=0  chnl=15</t>
  </si>
  <si>
    <t>BackGroundColor</t>
  </si>
  <si>
    <t>PresentColor</t>
  </si>
  <si>
    <t>PastFutureColor</t>
  </si>
  <si>
    <t>HourColor</t>
  </si>
  <si>
    <t>MinutesColor</t>
  </si>
  <si>
    <t>is24h</t>
  </si>
  <si>
    <t>Field1</t>
  </si>
  <si>
    <t>Field1Color</t>
  </si>
  <si>
    <t>Field2</t>
  </si>
  <si>
    <t>Field2Color</t>
  </si>
  <si>
    <t>Field3</t>
  </si>
  <si>
    <t>Field3Color</t>
  </si>
  <si>
    <t>Field4</t>
  </si>
  <si>
    <t>Field4Color</t>
  </si>
  <si>
    <t>sourceBG</t>
  </si>
  <si>
    <t>Transparent</t>
  </si>
  <si>
    <t>Nothing</t>
  </si>
  <si>
    <t>Battery</t>
  </si>
  <si>
    <t>Steps</t>
  </si>
  <si>
    <t>Distance</t>
  </si>
  <si>
    <t>Notifs</t>
  </si>
  <si>
    <t>Altitude</t>
  </si>
  <si>
    <t>Pressure</t>
  </si>
  <si>
    <t>Floor</t>
  </si>
  <si>
    <t>Temper</t>
  </si>
  <si>
    <t>TempExt</t>
  </si>
  <si>
    <t>Calories</t>
  </si>
  <si>
    <t>CurrentHeartRate</t>
  </si>
  <si>
    <t>TimeToRecovery</t>
  </si>
  <si>
    <t>BodyBattery</t>
  </si>
  <si>
    <t>ActiveMinutesDay</t>
  </si>
  <si>
    <t>ActiveMinutesWeek</t>
  </si>
  <si>
    <t>BG</t>
  </si>
  <si>
    <t>Seconds</t>
  </si>
  <si>
    <t>Digital_Time</t>
  </si>
  <si>
    <t>MoisJour</t>
  </si>
  <si>
    <t>JourMois</t>
  </si>
  <si>
    <t>JourSem</t>
  </si>
  <si>
    <t>JourSemJour</t>
  </si>
  <si>
    <t>JourSemMoisJour</t>
  </si>
  <si>
    <t>Week_number</t>
  </si>
  <si>
    <t>&lt;/settingConfig&gt;&lt;/setting&gt;</t>
  </si>
  <si>
    <t>list</t>
  </si>
  <si>
    <t>boolean</t>
  </si>
  <si>
    <t>code</t>
  </si>
  <si>
    <t>Nsurl</t>
  </si>
  <si>
    <t>Nstoken</t>
  </si>
  <si>
    <t>string</t>
  </si>
  <si>
    <t>number</t>
  </si>
  <si>
    <t>alphanumeric</t>
  </si>
  <si>
    <t>/</t>
  </si>
  <si>
    <t>type</t>
  </si>
  <si>
    <t>default</t>
  </si>
  <si>
    <t>true</t>
  </si>
  <si>
    <t>sunset</t>
  </si>
  <si>
    <t>sunrise</t>
  </si>
  <si>
    <t>spo2</t>
  </si>
  <si>
    <t>chars count=25</t>
  </si>
  <si>
    <t>char id=83    x=900       y=0     width=50  height=50   xoffset=0    yoffset=0    xadvance=50    page=0  chnl=15</t>
  </si>
  <si>
    <t>char id=84    x=950       y=0     width=50  height=50   xoffset=0    yoffset=0    xadvance=50    page=0  chnl=15</t>
  </si>
  <si>
    <t>char id=85    x=1000       y=0     width=50  height=50   xoffset=0    yoffset=0    xadvance=50    page=0  chnl=15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</si>
</sst>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rgb="FFFF0000"/>
      <name val="Calibri"/>
      <family val="2"/>
      <scheme val="minor"/>
    </font>
    <font>
      <sz val="11"/>
      <color rgb="FF000000"/>
      <name val="Verdana"/>
      <family val="2"/>
    </font>
    <font>
      <sz val="11"/>
      <color rgb="FFFF000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7" borderId="8" xfId="0" applyFont="1" applyFill="1" applyBorder="1" applyAlignment="1">
      <alignment horizontal="center" vertical="center" wrapText="1"/>
    </xf>
    <xf numFmtId="0" fontId="2" fillId="6" borderId="8" xfId="1" applyFill="1" applyBorder="1" applyAlignment="1">
      <alignment horizontal="left" vertical="center" wrapText="1" indent="1"/>
    </xf>
    <xf numFmtId="0" fontId="4" fillId="6" borderId="8" xfId="0" applyFont="1" applyFill="1" applyBorder="1" applyAlignment="1">
      <alignment horizontal="left" vertical="center" wrapText="1" indent="1"/>
    </xf>
    <xf numFmtId="0" fontId="2" fillId="8" borderId="8" xfId="1" applyFill="1" applyBorder="1" applyAlignment="1">
      <alignment horizontal="left" vertical="center" wrapText="1" indent="1"/>
    </xf>
    <xf numFmtId="0" fontId="4" fillId="8" borderId="8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4" fillId="8" borderId="9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5" fillId="0" borderId="0" xfId="0" applyFont="1"/>
    <xf numFmtId="1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20</xdr:col>
      <xdr:colOff>333375</xdr:colOff>
      <xdr:row>5</xdr:row>
      <xdr:rowOff>152400</xdr:rowOff>
    </xdr:to>
    <xdr:sp macro="[1]!chercheCaracteristics" textlink="">
      <xdr:nvSpPr>
        <xdr:cNvPr id="3" name="Rectangle à coins arrondis 1">
          <a:extLst>
            <a:ext uri="{FF2B5EF4-FFF2-40B4-BE49-F238E27FC236}">
              <a16:creationId xmlns:a16="http://schemas.microsoft.com/office/drawing/2014/main" id="{17D7D597-5012-4400-B8EE-DA937C4444E4}"/>
            </a:ext>
          </a:extLst>
        </xdr:cNvPr>
        <xdr:cNvSpPr/>
      </xdr:nvSpPr>
      <xdr:spPr>
        <a:xfrm>
          <a:off x="15392400" y="381000"/>
          <a:ext cx="26193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2</xdr:row>
      <xdr:rowOff>19050</xdr:rowOff>
    </xdr:from>
    <xdr:to>
      <xdr:col>12</xdr:col>
      <xdr:colOff>47625</xdr:colOff>
      <xdr:row>4</xdr:row>
      <xdr:rowOff>28575</xdr:rowOff>
    </xdr:to>
    <xdr:sp macro="[0]!MAJ_F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AE74E30-0E12-90A7-C247-ABA2702B4B13}"/>
            </a:ext>
          </a:extLst>
        </xdr:cNvPr>
        <xdr:cNvSpPr/>
      </xdr:nvSpPr>
      <xdr:spPr>
        <a:xfrm>
          <a:off x="2133600" y="400050"/>
          <a:ext cx="258127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Met</a:t>
          </a:r>
          <a:r>
            <a:rPr lang="fr-FR" sz="1100" baseline="0"/>
            <a:t>s à jour les fnt</a:t>
          </a:r>
        </a:p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duriez\Perso\Dossiers\DossiersVS\ChercheModelesWatch.xlsm" TargetMode="External"/><Relationship Id="rId1" Type="http://schemas.openxmlformats.org/officeDocument/2006/relationships/externalLinkPath" Target="/gduriez/Perso/Dossiers/DossiersVS/ChercheModelesWatc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6"/>
      <sheetName val="Feuil7"/>
      <sheetName val="ChercheModelesWatch"/>
    </sheetNames>
    <definedNames>
      <definedName name="chercheCaracteristics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16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15" sqref="F15"/>
    </sheetView>
  </sheetViews>
  <sheetFormatPr baseColWidth="10" defaultRowHeight="15"/>
  <cols>
    <col min="1" max="1" width="32.5703125" customWidth="1"/>
    <col min="3" max="3" width="26.85546875" customWidth="1"/>
  </cols>
  <sheetData>
    <row r="1" spans="1:13">
      <c r="A1" s="17" t="s">
        <v>40</v>
      </c>
      <c r="B1" s="17" t="s">
        <v>164</v>
      </c>
      <c r="C1" s="17" t="s">
        <v>41</v>
      </c>
      <c r="D1" s="17" t="s">
        <v>42</v>
      </c>
      <c r="E1" s="17" t="s">
        <v>43</v>
      </c>
      <c r="F1" s="17" t="s">
        <v>497</v>
      </c>
      <c r="G1" s="17" t="s">
        <v>44</v>
      </c>
      <c r="H1" s="17" t="s">
        <v>45</v>
      </c>
      <c r="I1" s="17" t="s">
        <v>46</v>
      </c>
      <c r="J1" s="17" t="s">
        <v>47</v>
      </c>
      <c r="K1" s="17" t="s">
        <v>48</v>
      </c>
      <c r="L1" s="17" t="s">
        <v>228</v>
      </c>
      <c r="M1" s="2" t="s">
        <v>49</v>
      </c>
    </row>
    <row r="2" spans="1:13">
      <c r="A2" t="s">
        <v>178</v>
      </c>
      <c r="B2" t="s">
        <v>498</v>
      </c>
      <c r="C2" t="s">
        <v>114</v>
      </c>
      <c r="D2" t="s">
        <v>115</v>
      </c>
      <c r="E2" t="s">
        <v>230</v>
      </c>
      <c r="F2" t="s">
        <v>499</v>
      </c>
      <c r="G2">
        <v>131072</v>
      </c>
      <c r="H2">
        <v>786432</v>
      </c>
      <c r="J2">
        <v>262144</v>
      </c>
      <c r="K2">
        <v>65536</v>
      </c>
      <c r="L2" t="s">
        <v>233</v>
      </c>
    </row>
    <row r="3" spans="1:13">
      <c r="A3" t="s">
        <v>63</v>
      </c>
      <c r="B3" t="s">
        <v>500</v>
      </c>
      <c r="C3" t="s">
        <v>64</v>
      </c>
      <c r="D3" t="s">
        <v>52</v>
      </c>
      <c r="E3" t="s">
        <v>229</v>
      </c>
      <c r="F3" t="s">
        <v>501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233</v>
      </c>
    </row>
    <row r="4" spans="1:13">
      <c r="A4" t="s">
        <v>150</v>
      </c>
      <c r="B4" t="s">
        <v>502</v>
      </c>
      <c r="C4" t="s">
        <v>111</v>
      </c>
      <c r="D4" t="s">
        <v>52</v>
      </c>
      <c r="E4" t="s">
        <v>151</v>
      </c>
      <c r="F4" t="s">
        <v>503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233</v>
      </c>
    </row>
    <row r="5" spans="1:13">
      <c r="A5" t="s">
        <v>113</v>
      </c>
      <c r="B5" t="s">
        <v>504</v>
      </c>
      <c r="C5" t="s">
        <v>114</v>
      </c>
      <c r="D5" t="s">
        <v>115</v>
      </c>
      <c r="E5" t="s">
        <v>230</v>
      </c>
      <c r="F5" t="s">
        <v>505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233</v>
      </c>
    </row>
    <row r="6" spans="1:13">
      <c r="A6" t="s">
        <v>116</v>
      </c>
      <c r="B6" t="s">
        <v>506</v>
      </c>
      <c r="C6" t="s">
        <v>117</v>
      </c>
      <c r="D6" t="s">
        <v>115</v>
      </c>
      <c r="E6" t="s">
        <v>230</v>
      </c>
      <c r="F6" t="s">
        <v>507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233</v>
      </c>
    </row>
    <row r="7" spans="1:13">
      <c r="A7" t="s">
        <v>152</v>
      </c>
      <c r="B7" t="s">
        <v>508</v>
      </c>
      <c r="C7" t="s">
        <v>114</v>
      </c>
      <c r="D7" t="s">
        <v>115</v>
      </c>
      <c r="E7" t="s">
        <v>153</v>
      </c>
      <c r="F7" t="s">
        <v>509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233</v>
      </c>
    </row>
    <row r="8" spans="1:13">
      <c r="A8" t="s">
        <v>118</v>
      </c>
      <c r="B8" t="s">
        <v>510</v>
      </c>
      <c r="C8" t="s">
        <v>119</v>
      </c>
      <c r="D8" t="s">
        <v>115</v>
      </c>
      <c r="E8" t="s">
        <v>179</v>
      </c>
      <c r="F8" t="s">
        <v>511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233</v>
      </c>
    </row>
    <row r="9" spans="1:13">
      <c r="A9" t="s">
        <v>50</v>
      </c>
      <c r="B9" t="s">
        <v>512</v>
      </c>
      <c r="C9" t="s">
        <v>51</v>
      </c>
      <c r="D9" t="s">
        <v>52</v>
      </c>
      <c r="E9" t="s">
        <v>53</v>
      </c>
      <c r="F9" t="s">
        <v>513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234</v>
      </c>
    </row>
    <row r="10" spans="1:13">
      <c r="A10" t="s">
        <v>54</v>
      </c>
      <c r="B10" t="s">
        <v>514</v>
      </c>
      <c r="C10" t="s">
        <v>51</v>
      </c>
      <c r="D10" t="s">
        <v>52</v>
      </c>
      <c r="E10" t="s">
        <v>53</v>
      </c>
      <c r="F10" t="s">
        <v>515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234</v>
      </c>
    </row>
    <row r="11" spans="1:13">
      <c r="A11" t="s">
        <v>65</v>
      </c>
      <c r="B11" t="s">
        <v>516</v>
      </c>
      <c r="C11" t="s">
        <v>64</v>
      </c>
      <c r="D11" t="s">
        <v>52</v>
      </c>
      <c r="E11" t="s">
        <v>66</v>
      </c>
      <c r="F11" t="s">
        <v>517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234</v>
      </c>
    </row>
    <row r="12" spans="1:13">
      <c r="A12" t="s">
        <v>67</v>
      </c>
      <c r="B12" t="s">
        <v>518</v>
      </c>
      <c r="C12" t="s">
        <v>64</v>
      </c>
      <c r="D12" t="s">
        <v>52</v>
      </c>
      <c r="E12" t="s">
        <v>68</v>
      </c>
      <c r="F12" t="s">
        <v>519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234</v>
      </c>
    </row>
    <row r="13" spans="1:13">
      <c r="A13" t="s">
        <v>69</v>
      </c>
      <c r="B13" t="s">
        <v>520</v>
      </c>
      <c r="C13" t="s">
        <v>64</v>
      </c>
      <c r="D13" t="s">
        <v>52</v>
      </c>
      <c r="E13" t="s">
        <v>68</v>
      </c>
      <c r="F13" t="s">
        <v>521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234</v>
      </c>
    </row>
    <row r="14" spans="1:13">
      <c r="A14" t="s">
        <v>70</v>
      </c>
      <c r="B14" t="s">
        <v>522</v>
      </c>
      <c r="C14" t="s">
        <v>64</v>
      </c>
      <c r="D14" t="s">
        <v>52</v>
      </c>
      <c r="E14" t="s">
        <v>68</v>
      </c>
      <c r="F14" t="s">
        <v>523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234</v>
      </c>
    </row>
    <row r="15" spans="1:13">
      <c r="A15" t="s">
        <v>120</v>
      </c>
      <c r="B15" t="s">
        <v>524</v>
      </c>
      <c r="C15" t="s">
        <v>119</v>
      </c>
      <c r="D15" t="s">
        <v>115</v>
      </c>
      <c r="E15" t="s">
        <v>525</v>
      </c>
      <c r="F15" t="s">
        <v>526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233</v>
      </c>
    </row>
    <row r="16" spans="1:13">
      <c r="A16" t="s">
        <v>527</v>
      </c>
      <c r="B16" t="s">
        <v>528</v>
      </c>
      <c r="C16" t="s">
        <v>117</v>
      </c>
      <c r="D16" t="s">
        <v>115</v>
      </c>
      <c r="E16" t="s">
        <v>525</v>
      </c>
      <c r="F16" t="s">
        <v>529</v>
      </c>
      <c r="G16">
        <v>131072</v>
      </c>
      <c r="H16">
        <v>786432</v>
      </c>
      <c r="I16">
        <v>1048576</v>
      </c>
      <c r="J16">
        <v>131072</v>
      </c>
      <c r="K16">
        <v>65536</v>
      </c>
      <c r="L16" t="s">
        <v>233</v>
      </c>
    </row>
    <row r="17" spans="1:12">
      <c r="A17" t="s">
        <v>530</v>
      </c>
      <c r="B17" t="s">
        <v>531</v>
      </c>
      <c r="C17" t="s">
        <v>117</v>
      </c>
      <c r="D17" t="s">
        <v>115</v>
      </c>
      <c r="E17" t="s">
        <v>532</v>
      </c>
      <c r="F17" t="s">
        <v>533</v>
      </c>
      <c r="G17">
        <v>131072</v>
      </c>
      <c r="H17">
        <v>786432</v>
      </c>
      <c r="I17">
        <v>1048576</v>
      </c>
      <c r="J17">
        <v>131072</v>
      </c>
      <c r="K17">
        <v>65536</v>
      </c>
      <c r="L17" t="s">
        <v>233</v>
      </c>
    </row>
    <row r="18" spans="1:12">
      <c r="A18" t="s">
        <v>534</v>
      </c>
      <c r="B18" t="s">
        <v>535</v>
      </c>
      <c r="C18" t="s">
        <v>536</v>
      </c>
      <c r="D18" t="s">
        <v>52</v>
      </c>
      <c r="E18" t="s">
        <v>537</v>
      </c>
      <c r="F18" t="s">
        <v>538</v>
      </c>
      <c r="G18">
        <v>65536</v>
      </c>
      <c r="H18">
        <v>98304</v>
      </c>
      <c r="I18">
        <v>65536</v>
      </c>
      <c r="J18">
        <v>32768</v>
      </c>
      <c r="K18">
        <v>32768</v>
      </c>
      <c r="L18" t="s">
        <v>234</v>
      </c>
    </row>
    <row r="19" spans="1:12">
      <c r="A19" t="s">
        <v>180</v>
      </c>
      <c r="B19" t="s">
        <v>539</v>
      </c>
      <c r="C19" t="s">
        <v>114</v>
      </c>
      <c r="D19" t="s">
        <v>115</v>
      </c>
      <c r="E19" t="s">
        <v>230</v>
      </c>
      <c r="F19" t="s">
        <v>540</v>
      </c>
      <c r="G19">
        <v>131072</v>
      </c>
      <c r="H19">
        <v>786432</v>
      </c>
      <c r="I19">
        <v>65536</v>
      </c>
      <c r="J19">
        <v>262144</v>
      </c>
      <c r="K19">
        <v>65536</v>
      </c>
      <c r="L19" t="s">
        <v>233</v>
      </c>
    </row>
    <row r="20" spans="1:12">
      <c r="A20" t="s">
        <v>71</v>
      </c>
      <c r="B20" t="s">
        <v>541</v>
      </c>
      <c r="C20" t="s">
        <v>64</v>
      </c>
      <c r="D20" t="s">
        <v>52</v>
      </c>
      <c r="E20" t="s">
        <v>231</v>
      </c>
      <c r="F20" t="s">
        <v>542</v>
      </c>
      <c r="G20">
        <v>98304</v>
      </c>
      <c r="H20">
        <v>1310720</v>
      </c>
      <c r="I20">
        <v>1048576</v>
      </c>
      <c r="J20">
        <v>131072</v>
      </c>
      <c r="K20">
        <v>32768</v>
      </c>
      <c r="L20" t="s">
        <v>234</v>
      </c>
    </row>
    <row r="21" spans="1:12">
      <c r="A21" t="s">
        <v>121</v>
      </c>
      <c r="B21" t="s">
        <v>543</v>
      </c>
      <c r="C21" t="s">
        <v>109</v>
      </c>
      <c r="D21" t="s">
        <v>52</v>
      </c>
      <c r="E21" t="s">
        <v>184</v>
      </c>
      <c r="F21" t="s">
        <v>544</v>
      </c>
      <c r="G21">
        <v>131072</v>
      </c>
      <c r="H21">
        <v>1310720</v>
      </c>
      <c r="I21">
        <v>1048576</v>
      </c>
      <c r="J21">
        <v>131072</v>
      </c>
      <c r="K21">
        <v>32768</v>
      </c>
      <c r="L21" t="s">
        <v>234</v>
      </c>
    </row>
    <row r="22" spans="1:12">
      <c r="A22" t="s">
        <v>72</v>
      </c>
      <c r="B22" t="s">
        <v>545</v>
      </c>
      <c r="C22" t="s">
        <v>64</v>
      </c>
      <c r="D22" t="s">
        <v>52</v>
      </c>
      <c r="E22" t="s">
        <v>184</v>
      </c>
      <c r="F22" t="s">
        <v>546</v>
      </c>
      <c r="G22">
        <v>98304</v>
      </c>
      <c r="H22">
        <v>1310720</v>
      </c>
      <c r="I22">
        <v>1048576</v>
      </c>
      <c r="J22">
        <v>131072</v>
      </c>
      <c r="K22">
        <v>32768</v>
      </c>
      <c r="L22" t="s">
        <v>234</v>
      </c>
    </row>
    <row r="23" spans="1:12">
      <c r="A23" t="s">
        <v>181</v>
      </c>
      <c r="B23" t="s">
        <v>547</v>
      </c>
      <c r="C23" t="s">
        <v>114</v>
      </c>
      <c r="D23" t="s">
        <v>115</v>
      </c>
      <c r="E23" t="s">
        <v>230</v>
      </c>
      <c r="F23" t="s">
        <v>548</v>
      </c>
      <c r="G23">
        <v>131072</v>
      </c>
      <c r="H23">
        <v>786432</v>
      </c>
      <c r="I23">
        <v>1048576</v>
      </c>
      <c r="J23">
        <v>262144</v>
      </c>
      <c r="K23">
        <v>65536</v>
      </c>
      <c r="L23" t="s">
        <v>233</v>
      </c>
    </row>
    <row r="24" spans="1:12">
      <c r="A24" t="s">
        <v>182</v>
      </c>
      <c r="B24" t="s">
        <v>549</v>
      </c>
      <c r="C24" t="s">
        <v>117</v>
      </c>
      <c r="D24" t="s">
        <v>115</v>
      </c>
      <c r="E24" t="s">
        <v>230</v>
      </c>
      <c r="F24" t="s">
        <v>550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233</v>
      </c>
    </row>
    <row r="25" spans="1:12">
      <c r="A25" t="s">
        <v>551</v>
      </c>
      <c r="B25" t="s">
        <v>552</v>
      </c>
      <c r="C25" t="s">
        <v>553</v>
      </c>
      <c r="D25" t="s">
        <v>554</v>
      </c>
      <c r="E25" t="s">
        <v>73</v>
      </c>
      <c r="F25" t="s">
        <v>555</v>
      </c>
      <c r="G25">
        <v>131072</v>
      </c>
      <c r="H25">
        <v>1048576</v>
      </c>
      <c r="I25">
        <v>1048576</v>
      </c>
      <c r="J25">
        <v>131072</v>
      </c>
      <c r="K25">
        <v>32768</v>
      </c>
      <c r="L25" t="s">
        <v>233</v>
      </c>
    </row>
    <row r="26" spans="1:12">
      <c r="A26" t="s">
        <v>556</v>
      </c>
      <c r="B26" t="s">
        <v>557</v>
      </c>
      <c r="C26" t="s">
        <v>553</v>
      </c>
      <c r="D26" t="s">
        <v>554</v>
      </c>
      <c r="E26" t="s">
        <v>73</v>
      </c>
      <c r="F26" t="s">
        <v>558</v>
      </c>
      <c r="G26">
        <v>131072</v>
      </c>
      <c r="H26">
        <v>1048576</v>
      </c>
      <c r="I26">
        <v>1048576</v>
      </c>
      <c r="J26">
        <v>131072</v>
      </c>
      <c r="K26">
        <v>32768</v>
      </c>
      <c r="L26" t="s">
        <v>233</v>
      </c>
    </row>
    <row r="27" spans="1:12">
      <c r="A27" t="s">
        <v>559</v>
      </c>
      <c r="B27" t="s">
        <v>560</v>
      </c>
      <c r="C27" t="s">
        <v>553</v>
      </c>
      <c r="D27" t="s">
        <v>554</v>
      </c>
      <c r="E27" t="s">
        <v>73</v>
      </c>
      <c r="F27" t="s">
        <v>561</v>
      </c>
      <c r="G27">
        <v>131072</v>
      </c>
      <c r="H27">
        <v>1048576</v>
      </c>
      <c r="I27">
        <v>1048576</v>
      </c>
      <c r="J27">
        <v>131072</v>
      </c>
      <c r="K27">
        <v>32768</v>
      </c>
      <c r="L27" t="s">
        <v>233</v>
      </c>
    </row>
    <row r="28" spans="1:12">
      <c r="A28" t="s">
        <v>562</v>
      </c>
      <c r="B28" t="s">
        <v>563</v>
      </c>
      <c r="C28" t="s">
        <v>553</v>
      </c>
      <c r="D28" t="s">
        <v>554</v>
      </c>
      <c r="E28" t="s">
        <v>532</v>
      </c>
      <c r="F28" t="s">
        <v>564</v>
      </c>
      <c r="G28">
        <v>131072</v>
      </c>
      <c r="H28">
        <v>1048576</v>
      </c>
      <c r="I28">
        <v>1048576</v>
      </c>
      <c r="J28">
        <v>131072</v>
      </c>
      <c r="K28">
        <v>32768</v>
      </c>
      <c r="L28" t="s">
        <v>233</v>
      </c>
    </row>
    <row r="29" spans="1:12">
      <c r="A29" t="s">
        <v>565</v>
      </c>
      <c r="B29" t="s">
        <v>566</v>
      </c>
      <c r="C29" t="s">
        <v>567</v>
      </c>
      <c r="D29" t="s">
        <v>554</v>
      </c>
      <c r="E29" t="s">
        <v>532</v>
      </c>
      <c r="F29" t="s">
        <v>568</v>
      </c>
      <c r="G29">
        <v>131072</v>
      </c>
      <c r="H29">
        <v>1048576</v>
      </c>
      <c r="I29">
        <v>1048576</v>
      </c>
      <c r="J29">
        <v>131072</v>
      </c>
      <c r="K29">
        <v>32768</v>
      </c>
      <c r="L29" t="s">
        <v>233</v>
      </c>
    </row>
    <row r="30" spans="1:12">
      <c r="A30" t="s">
        <v>569</v>
      </c>
      <c r="B30" t="s">
        <v>570</v>
      </c>
      <c r="C30" t="s">
        <v>571</v>
      </c>
      <c r="D30" t="s">
        <v>554</v>
      </c>
      <c r="E30" t="s">
        <v>572</v>
      </c>
      <c r="F30" t="s">
        <v>573</v>
      </c>
      <c r="G30">
        <v>131072</v>
      </c>
      <c r="H30">
        <v>1048576</v>
      </c>
      <c r="I30">
        <v>1048576</v>
      </c>
      <c r="J30">
        <v>32768</v>
      </c>
      <c r="K30">
        <v>32768</v>
      </c>
      <c r="L30" t="s">
        <v>234</v>
      </c>
    </row>
    <row r="31" spans="1:12">
      <c r="A31" t="s">
        <v>574</v>
      </c>
      <c r="B31" t="s">
        <v>575</v>
      </c>
      <c r="C31" t="s">
        <v>571</v>
      </c>
      <c r="D31" t="s">
        <v>554</v>
      </c>
      <c r="E31" t="s">
        <v>106</v>
      </c>
      <c r="F31" t="s">
        <v>576</v>
      </c>
      <c r="G31">
        <v>131072</v>
      </c>
      <c r="H31">
        <v>1048576</v>
      </c>
      <c r="I31">
        <v>1048576</v>
      </c>
      <c r="J31">
        <v>32768</v>
      </c>
      <c r="K31">
        <v>32768</v>
      </c>
      <c r="L31" t="s">
        <v>234</v>
      </c>
    </row>
    <row r="32" spans="1:12">
      <c r="A32" t="s">
        <v>577</v>
      </c>
      <c r="B32" t="s">
        <v>578</v>
      </c>
      <c r="C32" t="s">
        <v>579</v>
      </c>
      <c r="D32" t="s">
        <v>554</v>
      </c>
      <c r="E32" t="s">
        <v>580</v>
      </c>
      <c r="F32" t="s">
        <v>581</v>
      </c>
      <c r="G32">
        <v>131072</v>
      </c>
      <c r="H32">
        <v>1048576</v>
      </c>
      <c r="I32">
        <v>1048576</v>
      </c>
      <c r="J32">
        <v>131072</v>
      </c>
      <c r="K32">
        <v>32768</v>
      </c>
      <c r="L32" t="s">
        <v>234</v>
      </c>
    </row>
    <row r="33" spans="1:12">
      <c r="A33" t="s">
        <v>582</v>
      </c>
      <c r="B33" t="s">
        <v>583</v>
      </c>
      <c r="C33" t="s">
        <v>584</v>
      </c>
      <c r="D33" t="s">
        <v>554</v>
      </c>
      <c r="E33" t="s">
        <v>73</v>
      </c>
      <c r="F33" t="s">
        <v>585</v>
      </c>
      <c r="G33">
        <v>131072</v>
      </c>
      <c r="H33">
        <v>1048576</v>
      </c>
      <c r="I33">
        <v>1048576</v>
      </c>
      <c r="J33">
        <v>131072</v>
      </c>
      <c r="K33">
        <v>32768</v>
      </c>
      <c r="L33" t="s">
        <v>234</v>
      </c>
    </row>
    <row r="34" spans="1:12">
      <c r="A34" t="s">
        <v>586</v>
      </c>
      <c r="B34" t="s">
        <v>587</v>
      </c>
      <c r="C34" t="s">
        <v>584</v>
      </c>
      <c r="D34" t="s">
        <v>554</v>
      </c>
      <c r="E34" t="s">
        <v>532</v>
      </c>
      <c r="F34" t="s">
        <v>588</v>
      </c>
      <c r="G34">
        <v>131072</v>
      </c>
      <c r="H34">
        <v>1048576</v>
      </c>
      <c r="I34">
        <v>1048576</v>
      </c>
      <c r="J34">
        <v>131072</v>
      </c>
      <c r="K34">
        <v>32768</v>
      </c>
      <c r="L34" t="s">
        <v>234</v>
      </c>
    </row>
    <row r="35" spans="1:12">
      <c r="A35" t="s">
        <v>589</v>
      </c>
      <c r="B35" t="s">
        <v>590</v>
      </c>
      <c r="C35" t="s">
        <v>591</v>
      </c>
      <c r="D35" t="s">
        <v>554</v>
      </c>
      <c r="E35" t="s">
        <v>532</v>
      </c>
      <c r="F35" t="s">
        <v>592</v>
      </c>
      <c r="G35">
        <v>131072</v>
      </c>
      <c r="H35">
        <v>1048576</v>
      </c>
      <c r="I35">
        <v>1048576</v>
      </c>
      <c r="J35">
        <v>131072</v>
      </c>
      <c r="K35">
        <v>32768</v>
      </c>
      <c r="L35" t="s">
        <v>234</v>
      </c>
    </row>
    <row r="36" spans="1:12">
      <c r="A36" t="s">
        <v>593</v>
      </c>
      <c r="B36" t="s">
        <v>594</v>
      </c>
      <c r="C36" t="s">
        <v>579</v>
      </c>
      <c r="D36" t="s">
        <v>554</v>
      </c>
      <c r="E36" t="s">
        <v>580</v>
      </c>
      <c r="F36" t="s">
        <v>595</v>
      </c>
      <c r="G36">
        <v>131072</v>
      </c>
      <c r="H36">
        <v>1048576</v>
      </c>
      <c r="I36">
        <v>1048576</v>
      </c>
      <c r="J36">
        <v>131072</v>
      </c>
      <c r="K36">
        <v>32768</v>
      </c>
      <c r="L36" t="s">
        <v>233</v>
      </c>
    </row>
    <row r="37" spans="1:12">
      <c r="A37" t="s">
        <v>596</v>
      </c>
      <c r="B37" t="s">
        <v>597</v>
      </c>
      <c r="C37" t="s">
        <v>584</v>
      </c>
      <c r="D37" t="s">
        <v>554</v>
      </c>
      <c r="E37" t="s">
        <v>73</v>
      </c>
      <c r="F37" t="s">
        <v>598</v>
      </c>
      <c r="G37">
        <v>131072</v>
      </c>
      <c r="H37">
        <v>1048576</v>
      </c>
      <c r="I37">
        <v>1048576</v>
      </c>
      <c r="J37">
        <v>131072</v>
      </c>
      <c r="K37">
        <v>32768</v>
      </c>
      <c r="L37" t="s">
        <v>233</v>
      </c>
    </row>
    <row r="38" spans="1:12">
      <c r="A38" t="s">
        <v>599</v>
      </c>
      <c r="B38" t="s">
        <v>600</v>
      </c>
      <c r="C38" t="s">
        <v>584</v>
      </c>
      <c r="D38" t="s">
        <v>554</v>
      </c>
      <c r="E38" t="s">
        <v>532</v>
      </c>
      <c r="F38" t="s">
        <v>601</v>
      </c>
      <c r="G38">
        <v>131072</v>
      </c>
      <c r="H38">
        <v>1048576</v>
      </c>
      <c r="I38">
        <v>1048576</v>
      </c>
      <c r="J38">
        <v>131072</v>
      </c>
      <c r="K38">
        <v>32768</v>
      </c>
      <c r="L38" t="s">
        <v>233</v>
      </c>
    </row>
    <row r="39" spans="1:12">
      <c r="A39" t="s">
        <v>602</v>
      </c>
      <c r="B39" t="s">
        <v>603</v>
      </c>
      <c r="C39" t="s">
        <v>591</v>
      </c>
      <c r="D39" t="s">
        <v>554</v>
      </c>
      <c r="E39" t="s">
        <v>532</v>
      </c>
      <c r="F39" t="s">
        <v>604</v>
      </c>
      <c r="G39">
        <v>131072</v>
      </c>
      <c r="H39">
        <v>1048576</v>
      </c>
      <c r="I39">
        <v>1048576</v>
      </c>
      <c r="J39">
        <v>131072</v>
      </c>
      <c r="K39">
        <v>32768</v>
      </c>
      <c r="L39" t="s">
        <v>233</v>
      </c>
    </row>
    <row r="40" spans="1:12">
      <c r="A40" t="s">
        <v>605</v>
      </c>
      <c r="B40" t="s">
        <v>606</v>
      </c>
      <c r="C40" t="s">
        <v>607</v>
      </c>
      <c r="D40" t="s">
        <v>554</v>
      </c>
      <c r="E40" t="s">
        <v>580</v>
      </c>
      <c r="F40" t="s">
        <v>608</v>
      </c>
      <c r="G40">
        <v>131072</v>
      </c>
      <c r="H40">
        <v>1048576</v>
      </c>
      <c r="I40">
        <v>1048576</v>
      </c>
      <c r="J40">
        <v>131072</v>
      </c>
      <c r="K40">
        <v>32768</v>
      </c>
      <c r="L40" t="s">
        <v>233</v>
      </c>
    </row>
    <row r="41" spans="1:12">
      <c r="A41" t="s">
        <v>609</v>
      </c>
      <c r="B41" t="s">
        <v>610</v>
      </c>
      <c r="C41" t="s">
        <v>607</v>
      </c>
      <c r="D41" t="s">
        <v>554</v>
      </c>
      <c r="E41" t="s">
        <v>230</v>
      </c>
      <c r="F41" t="s">
        <v>611</v>
      </c>
      <c r="G41">
        <v>131072</v>
      </c>
      <c r="H41">
        <v>1048576</v>
      </c>
      <c r="I41">
        <v>1048576</v>
      </c>
      <c r="J41">
        <v>131072</v>
      </c>
      <c r="K41">
        <v>32768</v>
      </c>
      <c r="L41" t="s">
        <v>233</v>
      </c>
    </row>
    <row r="42" spans="1:12">
      <c r="A42" t="s">
        <v>612</v>
      </c>
      <c r="B42" t="s">
        <v>613</v>
      </c>
      <c r="C42" t="s">
        <v>614</v>
      </c>
      <c r="D42" t="s">
        <v>554</v>
      </c>
      <c r="E42" t="s">
        <v>532</v>
      </c>
      <c r="F42" t="s">
        <v>615</v>
      </c>
      <c r="G42">
        <v>131072</v>
      </c>
      <c r="H42">
        <v>1048576</v>
      </c>
      <c r="I42">
        <v>1048576</v>
      </c>
      <c r="J42">
        <v>131072</v>
      </c>
      <c r="K42">
        <v>32768</v>
      </c>
      <c r="L42" t="s">
        <v>234</v>
      </c>
    </row>
    <row r="43" spans="1:12">
      <c r="A43" t="s">
        <v>616</v>
      </c>
      <c r="B43" t="s">
        <v>617</v>
      </c>
      <c r="C43" t="s">
        <v>607</v>
      </c>
      <c r="D43" t="s">
        <v>554</v>
      </c>
      <c r="E43" t="s">
        <v>62</v>
      </c>
      <c r="F43" t="s">
        <v>618</v>
      </c>
      <c r="G43">
        <v>131072</v>
      </c>
      <c r="H43">
        <v>1048576</v>
      </c>
      <c r="I43">
        <v>1048576</v>
      </c>
      <c r="J43">
        <v>131072</v>
      </c>
      <c r="K43">
        <v>32768</v>
      </c>
      <c r="L43" t="s">
        <v>233</v>
      </c>
    </row>
    <row r="44" spans="1:12">
      <c r="A44" t="s">
        <v>619</v>
      </c>
      <c r="B44" t="s">
        <v>620</v>
      </c>
      <c r="C44" t="s">
        <v>579</v>
      </c>
      <c r="D44" t="s">
        <v>554</v>
      </c>
      <c r="E44" t="s">
        <v>62</v>
      </c>
      <c r="F44" t="s">
        <v>621</v>
      </c>
      <c r="G44">
        <v>131072</v>
      </c>
      <c r="H44">
        <v>262144</v>
      </c>
      <c r="I44">
        <v>262144</v>
      </c>
      <c r="J44">
        <v>32768</v>
      </c>
      <c r="K44">
        <v>32768</v>
      </c>
      <c r="L44" t="s">
        <v>234</v>
      </c>
    </row>
    <row r="45" spans="1:12">
      <c r="A45" t="s">
        <v>108</v>
      </c>
      <c r="B45" t="s">
        <v>622</v>
      </c>
      <c r="C45" t="s">
        <v>109</v>
      </c>
      <c r="D45" t="s">
        <v>52</v>
      </c>
      <c r="E45" t="s">
        <v>83</v>
      </c>
      <c r="F45" t="s">
        <v>623</v>
      </c>
      <c r="G45">
        <v>114688</v>
      </c>
      <c r="H45">
        <v>131072</v>
      </c>
      <c r="I45">
        <v>65536</v>
      </c>
      <c r="J45">
        <v>32768</v>
      </c>
      <c r="K45">
        <v>32768</v>
      </c>
      <c r="L45" t="s">
        <v>234</v>
      </c>
    </row>
    <row r="46" spans="1:12">
      <c r="A46" t="s">
        <v>183</v>
      </c>
      <c r="B46" t="s">
        <v>624</v>
      </c>
      <c r="C46" t="s">
        <v>109</v>
      </c>
      <c r="D46" t="s">
        <v>52</v>
      </c>
      <c r="E46" t="s">
        <v>532</v>
      </c>
      <c r="F46" t="s">
        <v>625</v>
      </c>
      <c r="G46">
        <v>131072</v>
      </c>
      <c r="H46">
        <v>786432</v>
      </c>
      <c r="I46">
        <v>65536</v>
      </c>
      <c r="J46">
        <v>131072</v>
      </c>
      <c r="K46">
        <v>65536</v>
      </c>
      <c r="L46" t="s">
        <v>233</v>
      </c>
    </row>
    <row r="47" spans="1:12">
      <c r="A47" t="s">
        <v>626</v>
      </c>
      <c r="B47" t="s">
        <v>627</v>
      </c>
      <c r="C47" t="s">
        <v>628</v>
      </c>
      <c r="D47" t="s">
        <v>52</v>
      </c>
      <c r="E47" t="s">
        <v>629</v>
      </c>
      <c r="F47" t="s">
        <v>630</v>
      </c>
      <c r="G47">
        <v>1048576</v>
      </c>
      <c r="H47">
        <v>1048576</v>
      </c>
      <c r="I47">
        <v>1048576</v>
      </c>
      <c r="J47">
        <v>131072</v>
      </c>
      <c r="K47">
        <v>65536</v>
      </c>
      <c r="L47" t="s">
        <v>233</v>
      </c>
    </row>
    <row r="48" spans="1:12">
      <c r="A48" t="s">
        <v>122</v>
      </c>
      <c r="B48" t="s">
        <v>631</v>
      </c>
      <c r="C48" t="s">
        <v>119</v>
      </c>
      <c r="D48" t="s">
        <v>115</v>
      </c>
      <c r="E48" t="s">
        <v>525</v>
      </c>
      <c r="F48" t="s">
        <v>632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233</v>
      </c>
    </row>
    <row r="49" spans="1:12">
      <c r="A49" t="s">
        <v>123</v>
      </c>
      <c r="B49" t="s">
        <v>633</v>
      </c>
      <c r="C49" t="s">
        <v>114</v>
      </c>
      <c r="D49" t="s">
        <v>115</v>
      </c>
      <c r="E49" t="s">
        <v>525</v>
      </c>
      <c r="F49" t="s">
        <v>634</v>
      </c>
      <c r="G49">
        <v>131072</v>
      </c>
      <c r="H49">
        <v>786432</v>
      </c>
      <c r="I49">
        <v>1048576</v>
      </c>
      <c r="J49">
        <v>262144</v>
      </c>
      <c r="K49">
        <v>65536</v>
      </c>
      <c r="L49" t="s">
        <v>233</v>
      </c>
    </row>
    <row r="50" spans="1:12">
      <c r="A50" t="s">
        <v>124</v>
      </c>
      <c r="B50" t="s">
        <v>635</v>
      </c>
      <c r="C50" t="s">
        <v>119</v>
      </c>
      <c r="D50" t="s">
        <v>115</v>
      </c>
      <c r="E50" t="s">
        <v>525</v>
      </c>
      <c r="F50" t="s">
        <v>636</v>
      </c>
      <c r="G50">
        <v>131072</v>
      </c>
      <c r="H50">
        <v>786432</v>
      </c>
      <c r="I50">
        <v>1048576</v>
      </c>
      <c r="J50">
        <v>262144</v>
      </c>
      <c r="K50">
        <v>65536</v>
      </c>
      <c r="L50" t="s">
        <v>233</v>
      </c>
    </row>
    <row r="51" spans="1:12">
      <c r="A51" t="s">
        <v>125</v>
      </c>
      <c r="B51" t="s">
        <v>637</v>
      </c>
      <c r="C51" t="s">
        <v>117</v>
      </c>
      <c r="D51" t="s">
        <v>115</v>
      </c>
      <c r="E51" t="s">
        <v>525</v>
      </c>
      <c r="F51" t="s">
        <v>638</v>
      </c>
      <c r="G51">
        <v>131072</v>
      </c>
      <c r="H51">
        <v>786432</v>
      </c>
      <c r="I51">
        <v>1048576</v>
      </c>
      <c r="J51">
        <v>262144</v>
      </c>
      <c r="K51">
        <v>65536</v>
      </c>
      <c r="L51" t="s">
        <v>233</v>
      </c>
    </row>
    <row r="52" spans="1:12">
      <c r="A52" t="s">
        <v>639</v>
      </c>
      <c r="B52" t="s">
        <v>640</v>
      </c>
      <c r="C52" t="s">
        <v>607</v>
      </c>
      <c r="D52" t="s">
        <v>554</v>
      </c>
      <c r="E52" t="s">
        <v>232</v>
      </c>
      <c r="F52" t="s">
        <v>641</v>
      </c>
      <c r="G52">
        <v>131072</v>
      </c>
      <c r="H52">
        <v>2359296</v>
      </c>
      <c r="I52">
        <v>1048576</v>
      </c>
      <c r="J52">
        <v>131072</v>
      </c>
      <c r="K52">
        <v>32768</v>
      </c>
      <c r="L52" t="s">
        <v>233</v>
      </c>
    </row>
    <row r="53" spans="1:12">
      <c r="A53" t="s">
        <v>55</v>
      </c>
      <c r="B53" t="s">
        <v>642</v>
      </c>
      <c r="C53" t="s">
        <v>51</v>
      </c>
      <c r="D53" t="s">
        <v>52</v>
      </c>
      <c r="E53" t="s">
        <v>53</v>
      </c>
      <c r="F53" t="s">
        <v>643</v>
      </c>
      <c r="G53">
        <v>65536</v>
      </c>
      <c r="H53">
        <v>65536</v>
      </c>
      <c r="I53">
        <v>65536</v>
      </c>
      <c r="J53">
        <v>16384</v>
      </c>
      <c r="K53">
        <v>32768</v>
      </c>
      <c r="L53" t="s">
        <v>234</v>
      </c>
    </row>
    <row r="54" spans="1:12">
      <c r="A54" t="s">
        <v>56</v>
      </c>
      <c r="B54" t="s">
        <v>644</v>
      </c>
      <c r="C54" t="s">
        <v>51</v>
      </c>
      <c r="D54" t="s">
        <v>52</v>
      </c>
      <c r="E54" t="s">
        <v>53</v>
      </c>
      <c r="F54" t="s">
        <v>645</v>
      </c>
      <c r="G54">
        <v>65536</v>
      </c>
      <c r="H54">
        <v>65536</v>
      </c>
      <c r="I54">
        <v>65536</v>
      </c>
      <c r="J54">
        <v>16384</v>
      </c>
      <c r="K54">
        <v>32768</v>
      </c>
      <c r="L54" t="s">
        <v>234</v>
      </c>
    </row>
    <row r="55" spans="1:12">
      <c r="A55" t="s">
        <v>74</v>
      </c>
      <c r="B55" t="s">
        <v>646</v>
      </c>
      <c r="C55" t="s">
        <v>64</v>
      </c>
      <c r="D55" t="s">
        <v>52</v>
      </c>
      <c r="E55" t="s">
        <v>75</v>
      </c>
      <c r="F55" t="s">
        <v>647</v>
      </c>
      <c r="G55">
        <v>98304</v>
      </c>
      <c r="H55">
        <v>131072</v>
      </c>
      <c r="I55">
        <v>65536</v>
      </c>
      <c r="J55">
        <v>32768</v>
      </c>
      <c r="K55">
        <v>32768</v>
      </c>
      <c r="L55" t="s">
        <v>234</v>
      </c>
    </row>
    <row r="56" spans="1:12">
      <c r="A56" t="s">
        <v>76</v>
      </c>
      <c r="B56" t="s">
        <v>648</v>
      </c>
      <c r="C56" t="s">
        <v>64</v>
      </c>
      <c r="D56" t="s">
        <v>52</v>
      </c>
      <c r="E56" t="s">
        <v>77</v>
      </c>
      <c r="F56" t="s">
        <v>649</v>
      </c>
      <c r="G56">
        <v>98304</v>
      </c>
      <c r="H56">
        <v>1310720</v>
      </c>
      <c r="I56">
        <v>1048576</v>
      </c>
      <c r="J56">
        <v>131072</v>
      </c>
      <c r="K56">
        <v>32768</v>
      </c>
      <c r="L56" t="s">
        <v>234</v>
      </c>
    </row>
    <row r="57" spans="1:12">
      <c r="A57" t="s">
        <v>78</v>
      </c>
      <c r="B57" t="s">
        <v>650</v>
      </c>
      <c r="C57" t="s">
        <v>51</v>
      </c>
      <c r="D57" t="s">
        <v>52</v>
      </c>
      <c r="E57" t="s">
        <v>75</v>
      </c>
      <c r="F57" t="s">
        <v>651</v>
      </c>
      <c r="G57">
        <v>98304</v>
      </c>
      <c r="H57">
        <v>131072</v>
      </c>
      <c r="I57">
        <v>65536</v>
      </c>
      <c r="J57">
        <v>32768</v>
      </c>
      <c r="K57">
        <v>32768</v>
      </c>
      <c r="L57" t="s">
        <v>234</v>
      </c>
    </row>
    <row r="58" spans="1:12">
      <c r="A58" t="s">
        <v>79</v>
      </c>
      <c r="B58" t="s">
        <v>652</v>
      </c>
      <c r="C58" t="s">
        <v>64</v>
      </c>
      <c r="D58" t="s">
        <v>52</v>
      </c>
      <c r="E58" t="s">
        <v>77</v>
      </c>
      <c r="F58" t="s">
        <v>653</v>
      </c>
      <c r="G58">
        <v>98304</v>
      </c>
      <c r="H58">
        <v>1310720</v>
      </c>
      <c r="I58">
        <v>1048576</v>
      </c>
      <c r="J58">
        <v>131072</v>
      </c>
      <c r="K58">
        <v>32768</v>
      </c>
      <c r="L58" t="s">
        <v>234</v>
      </c>
    </row>
    <row r="59" spans="1:12">
      <c r="A59" t="s">
        <v>80</v>
      </c>
      <c r="B59" t="s">
        <v>654</v>
      </c>
      <c r="C59" t="s">
        <v>64</v>
      </c>
      <c r="D59" t="s">
        <v>52</v>
      </c>
      <c r="E59" t="s">
        <v>75</v>
      </c>
      <c r="F59" t="s">
        <v>655</v>
      </c>
      <c r="G59">
        <v>98304</v>
      </c>
      <c r="H59">
        <v>1310720</v>
      </c>
      <c r="I59">
        <v>1048576</v>
      </c>
      <c r="J59">
        <v>131072</v>
      </c>
      <c r="K59">
        <v>32768</v>
      </c>
      <c r="L59" t="s">
        <v>234</v>
      </c>
    </row>
    <row r="60" spans="1:12">
      <c r="A60" t="s">
        <v>81</v>
      </c>
      <c r="B60" t="s">
        <v>656</v>
      </c>
      <c r="C60" t="s">
        <v>64</v>
      </c>
      <c r="D60" t="s">
        <v>52</v>
      </c>
      <c r="E60" t="s">
        <v>77</v>
      </c>
      <c r="F60" t="s">
        <v>657</v>
      </c>
      <c r="G60">
        <v>98304</v>
      </c>
      <c r="H60">
        <v>1310720</v>
      </c>
      <c r="I60">
        <v>1048576</v>
      </c>
      <c r="J60">
        <v>131072</v>
      </c>
      <c r="K60">
        <v>32768</v>
      </c>
      <c r="L60" t="s">
        <v>234</v>
      </c>
    </row>
    <row r="61" spans="1:12">
      <c r="A61" t="s">
        <v>110</v>
      </c>
      <c r="B61" t="s">
        <v>658</v>
      </c>
      <c r="C61" t="s">
        <v>111</v>
      </c>
      <c r="D61" t="s">
        <v>52</v>
      </c>
      <c r="E61" t="s">
        <v>184</v>
      </c>
      <c r="F61" t="s">
        <v>659</v>
      </c>
      <c r="G61">
        <v>114688</v>
      </c>
      <c r="H61">
        <v>131072</v>
      </c>
      <c r="I61">
        <v>65536</v>
      </c>
      <c r="J61">
        <v>32768</v>
      </c>
      <c r="K61">
        <v>32768</v>
      </c>
      <c r="L61" t="s">
        <v>234</v>
      </c>
    </row>
    <row r="62" spans="1:12">
      <c r="A62" t="s">
        <v>112</v>
      </c>
      <c r="B62" t="s">
        <v>660</v>
      </c>
      <c r="C62" t="s">
        <v>111</v>
      </c>
      <c r="D62" t="s">
        <v>52</v>
      </c>
      <c r="E62" t="s">
        <v>184</v>
      </c>
      <c r="F62" t="s">
        <v>661</v>
      </c>
      <c r="G62">
        <v>114688</v>
      </c>
      <c r="H62">
        <v>1310720</v>
      </c>
      <c r="I62">
        <v>1048576</v>
      </c>
      <c r="J62">
        <v>131072</v>
      </c>
      <c r="K62">
        <v>32768</v>
      </c>
      <c r="L62" t="s">
        <v>234</v>
      </c>
    </row>
    <row r="63" spans="1:12">
      <c r="A63" t="s">
        <v>82</v>
      </c>
      <c r="B63" t="s">
        <v>662</v>
      </c>
      <c r="C63" t="s">
        <v>64</v>
      </c>
      <c r="D63" t="s">
        <v>52</v>
      </c>
      <c r="E63" t="s">
        <v>184</v>
      </c>
      <c r="F63" t="s">
        <v>663</v>
      </c>
      <c r="G63">
        <v>98304</v>
      </c>
      <c r="H63">
        <v>131072</v>
      </c>
      <c r="I63">
        <v>65536</v>
      </c>
      <c r="J63">
        <v>32768</v>
      </c>
      <c r="K63">
        <v>32768</v>
      </c>
      <c r="L63" t="s">
        <v>234</v>
      </c>
    </row>
    <row r="64" spans="1:12">
      <c r="A64" t="s">
        <v>84</v>
      </c>
      <c r="B64" t="s">
        <v>664</v>
      </c>
      <c r="C64" t="s">
        <v>64</v>
      </c>
      <c r="D64" t="s">
        <v>52</v>
      </c>
      <c r="E64" t="s">
        <v>184</v>
      </c>
      <c r="F64" t="s">
        <v>665</v>
      </c>
      <c r="G64">
        <v>98304</v>
      </c>
      <c r="H64">
        <v>1310720</v>
      </c>
      <c r="I64">
        <v>1048576</v>
      </c>
      <c r="J64">
        <v>131072</v>
      </c>
      <c r="K64">
        <v>32768</v>
      </c>
      <c r="L64" t="s">
        <v>234</v>
      </c>
    </row>
    <row r="65" spans="1:12">
      <c r="A65" t="s">
        <v>126</v>
      </c>
      <c r="B65" t="s">
        <v>666</v>
      </c>
      <c r="C65" t="s">
        <v>109</v>
      </c>
      <c r="D65" t="s">
        <v>52</v>
      </c>
      <c r="E65" t="s">
        <v>184</v>
      </c>
      <c r="F65" t="s">
        <v>667</v>
      </c>
      <c r="G65">
        <v>131072</v>
      </c>
      <c r="H65">
        <v>1310720</v>
      </c>
      <c r="I65">
        <v>1048576</v>
      </c>
      <c r="J65">
        <v>131072</v>
      </c>
      <c r="K65">
        <v>32768</v>
      </c>
      <c r="L65" t="s">
        <v>234</v>
      </c>
    </row>
    <row r="66" spans="1:12">
      <c r="A66" t="s">
        <v>127</v>
      </c>
      <c r="B66" t="s">
        <v>668</v>
      </c>
      <c r="C66" t="s">
        <v>111</v>
      </c>
      <c r="D66" t="s">
        <v>52</v>
      </c>
      <c r="E66" t="s">
        <v>525</v>
      </c>
      <c r="F66" t="s">
        <v>669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233</v>
      </c>
    </row>
    <row r="67" spans="1:12">
      <c r="A67" t="s">
        <v>128</v>
      </c>
      <c r="B67" t="s">
        <v>670</v>
      </c>
      <c r="C67" t="s">
        <v>111</v>
      </c>
      <c r="D67" t="s">
        <v>52</v>
      </c>
      <c r="E67" t="s">
        <v>525</v>
      </c>
      <c r="F67" t="s">
        <v>671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233</v>
      </c>
    </row>
    <row r="68" spans="1:12">
      <c r="A68" t="s">
        <v>185</v>
      </c>
      <c r="B68" t="s">
        <v>672</v>
      </c>
      <c r="C68" t="s">
        <v>111</v>
      </c>
      <c r="D68" t="s">
        <v>52</v>
      </c>
      <c r="E68" t="s">
        <v>525</v>
      </c>
      <c r="F68" t="s">
        <v>673</v>
      </c>
      <c r="G68">
        <v>131072</v>
      </c>
      <c r="H68">
        <v>786432</v>
      </c>
      <c r="I68">
        <v>1048576</v>
      </c>
      <c r="J68">
        <v>262144</v>
      </c>
      <c r="K68">
        <v>65536</v>
      </c>
      <c r="L68" t="s">
        <v>233</v>
      </c>
    </row>
    <row r="69" spans="1:12">
      <c r="A69" t="s">
        <v>129</v>
      </c>
      <c r="B69" t="s">
        <v>674</v>
      </c>
      <c r="C69" t="s">
        <v>64</v>
      </c>
      <c r="D69" t="s">
        <v>52</v>
      </c>
      <c r="E69" t="s">
        <v>525</v>
      </c>
      <c r="F69" t="s">
        <v>675</v>
      </c>
      <c r="G69">
        <v>131072</v>
      </c>
      <c r="H69">
        <v>786432</v>
      </c>
      <c r="I69">
        <v>1048576</v>
      </c>
      <c r="J69">
        <v>262144</v>
      </c>
      <c r="K69">
        <v>65536</v>
      </c>
      <c r="L69" t="s">
        <v>233</v>
      </c>
    </row>
    <row r="70" spans="1:12">
      <c r="A70" t="s">
        <v>130</v>
      </c>
      <c r="B70" t="s">
        <v>676</v>
      </c>
      <c r="C70" t="s">
        <v>64</v>
      </c>
      <c r="D70" t="s">
        <v>52</v>
      </c>
      <c r="E70" t="s">
        <v>525</v>
      </c>
      <c r="F70" t="s">
        <v>677</v>
      </c>
      <c r="G70">
        <v>131072</v>
      </c>
      <c r="H70">
        <v>786432</v>
      </c>
      <c r="I70">
        <v>1048576</v>
      </c>
      <c r="J70">
        <v>262144</v>
      </c>
      <c r="K70">
        <v>65536</v>
      </c>
      <c r="L70" t="s">
        <v>233</v>
      </c>
    </row>
    <row r="71" spans="1:12">
      <c r="A71" t="s">
        <v>131</v>
      </c>
      <c r="B71" t="s">
        <v>678</v>
      </c>
      <c r="C71" t="s">
        <v>109</v>
      </c>
      <c r="D71" t="s">
        <v>52</v>
      </c>
      <c r="E71" t="s">
        <v>525</v>
      </c>
      <c r="F71" t="s">
        <v>679</v>
      </c>
      <c r="G71">
        <v>131072</v>
      </c>
      <c r="H71">
        <v>786432</v>
      </c>
      <c r="I71">
        <v>1048576</v>
      </c>
      <c r="J71">
        <v>262144</v>
      </c>
      <c r="K71">
        <v>65536</v>
      </c>
      <c r="L71" t="s">
        <v>233</v>
      </c>
    </row>
    <row r="72" spans="1:12">
      <c r="A72" t="s">
        <v>132</v>
      </c>
      <c r="B72" t="s">
        <v>680</v>
      </c>
      <c r="C72" t="s">
        <v>109</v>
      </c>
      <c r="D72" t="s">
        <v>52</v>
      </c>
      <c r="E72" t="s">
        <v>525</v>
      </c>
      <c r="F72" t="s">
        <v>681</v>
      </c>
      <c r="G72">
        <v>131072</v>
      </c>
      <c r="H72">
        <v>786432</v>
      </c>
      <c r="I72">
        <v>1048576</v>
      </c>
      <c r="J72">
        <v>262144</v>
      </c>
      <c r="K72">
        <v>65536</v>
      </c>
      <c r="L72" t="s">
        <v>233</v>
      </c>
    </row>
    <row r="73" spans="1:12">
      <c r="A73" t="s">
        <v>186</v>
      </c>
      <c r="B73" t="s">
        <v>682</v>
      </c>
      <c r="C73" t="s">
        <v>109</v>
      </c>
      <c r="D73" t="s">
        <v>52</v>
      </c>
      <c r="E73" t="s">
        <v>525</v>
      </c>
      <c r="F73" t="s">
        <v>683</v>
      </c>
      <c r="G73">
        <v>131072</v>
      </c>
      <c r="H73">
        <v>786432</v>
      </c>
      <c r="I73">
        <v>1048576</v>
      </c>
      <c r="J73">
        <v>262144</v>
      </c>
      <c r="K73">
        <v>65536</v>
      </c>
      <c r="L73" t="s">
        <v>233</v>
      </c>
    </row>
    <row r="74" spans="1:12">
      <c r="A74" t="s">
        <v>187</v>
      </c>
      <c r="B74" t="s">
        <v>684</v>
      </c>
      <c r="C74" t="s">
        <v>119</v>
      </c>
      <c r="D74" t="s">
        <v>115</v>
      </c>
      <c r="E74" t="s">
        <v>532</v>
      </c>
      <c r="F74" t="s">
        <v>685</v>
      </c>
      <c r="G74">
        <v>131072</v>
      </c>
      <c r="H74">
        <v>786432</v>
      </c>
      <c r="I74">
        <v>1048576</v>
      </c>
      <c r="J74">
        <v>131072</v>
      </c>
      <c r="K74">
        <v>65536</v>
      </c>
      <c r="L74" t="s">
        <v>233</v>
      </c>
    </row>
    <row r="75" spans="1:12">
      <c r="A75" t="s">
        <v>188</v>
      </c>
      <c r="B75" t="s">
        <v>686</v>
      </c>
      <c r="C75" t="s">
        <v>117</v>
      </c>
      <c r="D75" t="s">
        <v>115</v>
      </c>
      <c r="E75" t="s">
        <v>532</v>
      </c>
      <c r="F75" t="s">
        <v>687</v>
      </c>
      <c r="G75">
        <v>131072</v>
      </c>
      <c r="H75">
        <v>786432</v>
      </c>
      <c r="I75">
        <v>1048576</v>
      </c>
      <c r="J75">
        <v>131072</v>
      </c>
      <c r="K75">
        <v>65536</v>
      </c>
      <c r="L75" t="s">
        <v>233</v>
      </c>
    </row>
    <row r="76" spans="1:12">
      <c r="A76" t="s">
        <v>235</v>
      </c>
      <c r="B76" t="s">
        <v>688</v>
      </c>
      <c r="C76" t="s">
        <v>117</v>
      </c>
      <c r="D76" t="s">
        <v>115</v>
      </c>
      <c r="E76" t="s">
        <v>532</v>
      </c>
      <c r="F76" t="s">
        <v>689</v>
      </c>
      <c r="G76">
        <v>131072</v>
      </c>
      <c r="H76">
        <v>786432</v>
      </c>
      <c r="I76">
        <v>1048576</v>
      </c>
      <c r="J76">
        <v>131072</v>
      </c>
      <c r="K76">
        <v>65536</v>
      </c>
      <c r="L76" t="s">
        <v>233</v>
      </c>
    </row>
    <row r="77" spans="1:12">
      <c r="A77" t="s">
        <v>189</v>
      </c>
      <c r="B77" t="s">
        <v>690</v>
      </c>
      <c r="C77" t="s">
        <v>111</v>
      </c>
      <c r="D77" t="s">
        <v>52</v>
      </c>
      <c r="E77" t="s">
        <v>532</v>
      </c>
      <c r="F77" t="s">
        <v>691</v>
      </c>
      <c r="G77">
        <v>131072</v>
      </c>
      <c r="H77">
        <v>786432</v>
      </c>
      <c r="I77">
        <v>1048576</v>
      </c>
      <c r="J77">
        <v>131072</v>
      </c>
      <c r="K77">
        <v>65536</v>
      </c>
      <c r="L77" t="s">
        <v>233</v>
      </c>
    </row>
    <row r="78" spans="1:12">
      <c r="A78" t="s">
        <v>190</v>
      </c>
      <c r="B78" t="s">
        <v>692</v>
      </c>
      <c r="C78" t="s">
        <v>109</v>
      </c>
      <c r="D78" t="s">
        <v>52</v>
      </c>
      <c r="E78" t="s">
        <v>532</v>
      </c>
      <c r="F78" t="s">
        <v>693</v>
      </c>
      <c r="G78">
        <v>131072</v>
      </c>
      <c r="H78">
        <v>786432</v>
      </c>
      <c r="I78">
        <v>1048576</v>
      </c>
      <c r="J78">
        <v>131072</v>
      </c>
      <c r="K78">
        <v>65536</v>
      </c>
      <c r="L78" t="s">
        <v>233</v>
      </c>
    </row>
    <row r="79" spans="1:12">
      <c r="A79" t="s">
        <v>85</v>
      </c>
      <c r="B79" t="s">
        <v>694</v>
      </c>
      <c r="C79" t="s">
        <v>51</v>
      </c>
      <c r="D79" t="s">
        <v>52</v>
      </c>
      <c r="E79" t="s">
        <v>75</v>
      </c>
      <c r="F79" t="s">
        <v>695</v>
      </c>
      <c r="G79">
        <v>98304</v>
      </c>
      <c r="H79">
        <v>131072</v>
      </c>
      <c r="I79">
        <v>65536</v>
      </c>
      <c r="J79">
        <v>32768</v>
      </c>
      <c r="K79">
        <v>32768</v>
      </c>
      <c r="L79" t="s">
        <v>234</v>
      </c>
    </row>
    <row r="80" spans="1:12">
      <c r="A80" t="s">
        <v>191</v>
      </c>
      <c r="B80" t="s">
        <v>696</v>
      </c>
      <c r="C80" t="s">
        <v>119</v>
      </c>
      <c r="D80" t="s">
        <v>115</v>
      </c>
      <c r="E80" t="s">
        <v>532</v>
      </c>
      <c r="F80" t="s">
        <v>697</v>
      </c>
      <c r="G80">
        <v>131072</v>
      </c>
      <c r="H80">
        <v>786432</v>
      </c>
      <c r="I80">
        <v>65536</v>
      </c>
      <c r="J80">
        <v>131072</v>
      </c>
      <c r="K80">
        <v>65536</v>
      </c>
      <c r="L80" t="s">
        <v>233</v>
      </c>
    </row>
    <row r="81" spans="1:12">
      <c r="A81" t="s">
        <v>192</v>
      </c>
      <c r="B81" t="s">
        <v>698</v>
      </c>
      <c r="C81" t="s">
        <v>114</v>
      </c>
      <c r="D81" t="s">
        <v>115</v>
      </c>
      <c r="E81" t="s">
        <v>525</v>
      </c>
      <c r="F81" t="s">
        <v>699</v>
      </c>
      <c r="G81">
        <v>131072</v>
      </c>
      <c r="H81">
        <v>786432</v>
      </c>
      <c r="I81">
        <v>65536</v>
      </c>
      <c r="J81">
        <v>262144</v>
      </c>
      <c r="K81">
        <v>65536</v>
      </c>
      <c r="L81" t="s">
        <v>233</v>
      </c>
    </row>
    <row r="82" spans="1:12">
      <c r="A82" t="s">
        <v>193</v>
      </c>
      <c r="B82" t="s">
        <v>700</v>
      </c>
      <c r="C82" t="s">
        <v>114</v>
      </c>
      <c r="D82" t="s">
        <v>115</v>
      </c>
      <c r="E82" t="s">
        <v>525</v>
      </c>
      <c r="F82" t="s">
        <v>701</v>
      </c>
      <c r="G82">
        <v>131072</v>
      </c>
      <c r="H82">
        <v>786432</v>
      </c>
      <c r="I82">
        <v>65536</v>
      </c>
      <c r="J82">
        <v>262144</v>
      </c>
      <c r="K82">
        <v>65536</v>
      </c>
      <c r="L82" t="s">
        <v>233</v>
      </c>
    </row>
    <row r="83" spans="1:12">
      <c r="A83" t="s">
        <v>702</v>
      </c>
      <c r="B83" t="s">
        <v>703</v>
      </c>
      <c r="C83" t="s">
        <v>114</v>
      </c>
      <c r="D83" t="s">
        <v>115</v>
      </c>
      <c r="E83" t="s">
        <v>532</v>
      </c>
      <c r="F83" t="s">
        <v>704</v>
      </c>
      <c r="G83">
        <v>131072</v>
      </c>
      <c r="H83">
        <v>786432</v>
      </c>
      <c r="I83">
        <v>65536</v>
      </c>
      <c r="J83">
        <v>262144</v>
      </c>
      <c r="K83">
        <v>65536</v>
      </c>
      <c r="L83" t="s">
        <v>233</v>
      </c>
    </row>
    <row r="84" spans="1:12">
      <c r="A84" t="s">
        <v>705</v>
      </c>
      <c r="B84" t="s">
        <v>706</v>
      </c>
      <c r="C84" t="s">
        <v>114</v>
      </c>
      <c r="D84" t="s">
        <v>115</v>
      </c>
      <c r="E84" t="s">
        <v>532</v>
      </c>
      <c r="F84" t="s">
        <v>707</v>
      </c>
      <c r="G84">
        <v>131072</v>
      </c>
      <c r="H84">
        <v>786432</v>
      </c>
      <c r="I84">
        <v>65536</v>
      </c>
      <c r="J84">
        <v>262144</v>
      </c>
      <c r="K84">
        <v>65536</v>
      </c>
      <c r="L84" t="s">
        <v>233</v>
      </c>
    </row>
    <row r="85" spans="1:12">
      <c r="A85" t="s">
        <v>57</v>
      </c>
      <c r="B85" t="s">
        <v>708</v>
      </c>
      <c r="C85" t="s">
        <v>58</v>
      </c>
      <c r="D85" t="s">
        <v>52</v>
      </c>
      <c r="E85" t="s">
        <v>53</v>
      </c>
      <c r="F85" t="s">
        <v>709</v>
      </c>
      <c r="G85">
        <v>65536</v>
      </c>
      <c r="H85">
        <v>65536</v>
      </c>
      <c r="I85">
        <v>65536</v>
      </c>
      <c r="J85">
        <v>16384</v>
      </c>
      <c r="K85">
        <v>65536</v>
      </c>
      <c r="L85" t="s">
        <v>234</v>
      </c>
    </row>
    <row r="86" spans="1:12">
      <c r="A86" t="s">
        <v>59</v>
      </c>
      <c r="B86" t="s">
        <v>710</v>
      </c>
      <c r="C86" t="s">
        <v>58</v>
      </c>
      <c r="D86" t="s">
        <v>52</v>
      </c>
      <c r="E86" t="s">
        <v>53</v>
      </c>
      <c r="F86" t="s">
        <v>711</v>
      </c>
      <c r="G86">
        <v>65536</v>
      </c>
      <c r="H86">
        <v>65536</v>
      </c>
      <c r="I86">
        <v>65536</v>
      </c>
      <c r="J86">
        <v>16384</v>
      </c>
      <c r="K86">
        <v>65536</v>
      </c>
      <c r="L86" t="s">
        <v>234</v>
      </c>
    </row>
    <row r="87" spans="1:12">
      <c r="A87" t="s">
        <v>86</v>
      </c>
      <c r="B87" t="s">
        <v>712</v>
      </c>
      <c r="C87" t="s">
        <v>64</v>
      </c>
      <c r="D87" t="s">
        <v>52</v>
      </c>
      <c r="E87" t="s">
        <v>73</v>
      </c>
      <c r="F87" t="s">
        <v>713</v>
      </c>
      <c r="G87">
        <v>98304</v>
      </c>
      <c r="H87">
        <v>131072</v>
      </c>
      <c r="I87">
        <v>65536</v>
      </c>
      <c r="J87">
        <v>32768</v>
      </c>
      <c r="K87">
        <v>32768</v>
      </c>
      <c r="L87" t="s">
        <v>234</v>
      </c>
    </row>
    <row r="88" spans="1:12">
      <c r="A88" t="s">
        <v>87</v>
      </c>
      <c r="B88" t="s">
        <v>714</v>
      </c>
      <c r="C88" t="s">
        <v>64</v>
      </c>
      <c r="D88" t="s">
        <v>52</v>
      </c>
      <c r="E88" t="s">
        <v>73</v>
      </c>
      <c r="F88" t="s">
        <v>715</v>
      </c>
      <c r="G88">
        <v>98304</v>
      </c>
      <c r="H88">
        <v>1310720</v>
      </c>
      <c r="I88">
        <v>1048576</v>
      </c>
      <c r="J88">
        <v>131072</v>
      </c>
      <c r="K88">
        <v>65536</v>
      </c>
      <c r="L88" t="s">
        <v>234</v>
      </c>
    </row>
    <row r="89" spans="1:12">
      <c r="A89" t="s">
        <v>133</v>
      </c>
      <c r="B89" t="s">
        <v>716</v>
      </c>
      <c r="C89" t="s">
        <v>111</v>
      </c>
      <c r="D89" t="s">
        <v>52</v>
      </c>
      <c r="E89" t="s">
        <v>525</v>
      </c>
      <c r="F89" t="s">
        <v>717</v>
      </c>
      <c r="G89">
        <v>131072</v>
      </c>
      <c r="H89">
        <v>524288</v>
      </c>
      <c r="I89">
        <v>1048576</v>
      </c>
      <c r="J89">
        <v>262144</v>
      </c>
      <c r="K89">
        <v>65536</v>
      </c>
      <c r="L89" t="s">
        <v>234</v>
      </c>
    </row>
    <row r="90" spans="1:12">
      <c r="A90" t="s">
        <v>134</v>
      </c>
      <c r="B90" t="s">
        <v>718</v>
      </c>
      <c r="C90" t="s">
        <v>111</v>
      </c>
      <c r="D90" t="s">
        <v>52</v>
      </c>
      <c r="E90" t="s">
        <v>525</v>
      </c>
      <c r="F90" t="s">
        <v>719</v>
      </c>
      <c r="G90">
        <v>131072</v>
      </c>
      <c r="H90">
        <v>786432</v>
      </c>
      <c r="I90">
        <v>1048576</v>
      </c>
      <c r="J90">
        <v>262144</v>
      </c>
      <c r="K90">
        <v>65536</v>
      </c>
      <c r="L90" t="s">
        <v>234</v>
      </c>
    </row>
    <row r="91" spans="1:12">
      <c r="A91" t="s">
        <v>135</v>
      </c>
      <c r="B91" t="s">
        <v>720</v>
      </c>
      <c r="C91" t="s">
        <v>51</v>
      </c>
      <c r="D91" t="s">
        <v>52</v>
      </c>
      <c r="E91" t="s">
        <v>525</v>
      </c>
      <c r="F91" t="s">
        <v>721</v>
      </c>
      <c r="G91">
        <v>131072</v>
      </c>
      <c r="H91">
        <v>524288</v>
      </c>
      <c r="I91">
        <v>1048576</v>
      </c>
      <c r="J91">
        <v>262144</v>
      </c>
      <c r="K91">
        <v>65536</v>
      </c>
      <c r="L91" t="s">
        <v>234</v>
      </c>
    </row>
    <row r="92" spans="1:12">
      <c r="A92" t="s">
        <v>136</v>
      </c>
      <c r="B92" t="s">
        <v>722</v>
      </c>
      <c r="C92" t="s">
        <v>51</v>
      </c>
      <c r="D92" t="s">
        <v>52</v>
      </c>
      <c r="E92" t="s">
        <v>525</v>
      </c>
      <c r="F92" t="s">
        <v>723</v>
      </c>
      <c r="G92">
        <v>131072</v>
      </c>
      <c r="H92">
        <v>786432</v>
      </c>
      <c r="I92">
        <v>1048576</v>
      </c>
      <c r="J92">
        <v>262144</v>
      </c>
      <c r="K92">
        <v>65536</v>
      </c>
      <c r="L92" t="s">
        <v>234</v>
      </c>
    </row>
    <row r="93" spans="1:12">
      <c r="A93" t="s">
        <v>137</v>
      </c>
      <c r="B93" t="s">
        <v>724</v>
      </c>
      <c r="C93" t="s">
        <v>119</v>
      </c>
      <c r="D93" t="s">
        <v>115</v>
      </c>
      <c r="E93" t="s">
        <v>525</v>
      </c>
      <c r="F93" t="s">
        <v>725</v>
      </c>
      <c r="G93">
        <v>131072</v>
      </c>
      <c r="H93">
        <v>786432</v>
      </c>
      <c r="I93">
        <v>1048576</v>
      </c>
      <c r="J93">
        <v>262144</v>
      </c>
      <c r="K93">
        <v>65536</v>
      </c>
      <c r="L93" t="s">
        <v>233</v>
      </c>
    </row>
    <row r="94" spans="1:12">
      <c r="A94" t="s">
        <v>138</v>
      </c>
      <c r="B94" t="s">
        <v>726</v>
      </c>
      <c r="C94" t="s">
        <v>139</v>
      </c>
      <c r="D94" t="s">
        <v>115</v>
      </c>
      <c r="E94" t="s">
        <v>525</v>
      </c>
      <c r="F94" t="s">
        <v>727</v>
      </c>
      <c r="G94">
        <v>131072</v>
      </c>
      <c r="H94">
        <v>786432</v>
      </c>
      <c r="I94">
        <v>1048576</v>
      </c>
      <c r="J94">
        <v>262144</v>
      </c>
      <c r="K94">
        <v>65536</v>
      </c>
      <c r="L94" t="s">
        <v>233</v>
      </c>
    </row>
    <row r="95" spans="1:12">
      <c r="A95" t="s">
        <v>728</v>
      </c>
      <c r="B95" t="s">
        <v>729</v>
      </c>
      <c r="C95" t="s">
        <v>730</v>
      </c>
      <c r="D95" t="s">
        <v>52</v>
      </c>
      <c r="E95" t="s">
        <v>731</v>
      </c>
      <c r="F95" t="s">
        <v>732</v>
      </c>
      <c r="G95">
        <v>49152</v>
      </c>
      <c r="H95">
        <v>786432</v>
      </c>
      <c r="I95">
        <v>1048576</v>
      </c>
      <c r="J95">
        <v>262144</v>
      </c>
      <c r="K95">
        <v>65536</v>
      </c>
      <c r="L95" t="s">
        <v>234</v>
      </c>
    </row>
    <row r="96" spans="1:12">
      <c r="A96" t="s">
        <v>733</v>
      </c>
      <c r="B96" t="s">
        <v>734</v>
      </c>
      <c r="C96" t="s">
        <v>730</v>
      </c>
      <c r="D96" t="s">
        <v>52</v>
      </c>
      <c r="E96" t="s">
        <v>83</v>
      </c>
      <c r="F96" t="s">
        <v>735</v>
      </c>
      <c r="G96">
        <v>98304</v>
      </c>
      <c r="H96">
        <v>131072</v>
      </c>
      <c r="I96">
        <v>65536</v>
      </c>
      <c r="J96">
        <v>32768</v>
      </c>
      <c r="K96">
        <v>32768</v>
      </c>
      <c r="L96" t="s">
        <v>234</v>
      </c>
    </row>
    <row r="97" spans="1:12">
      <c r="A97" t="s">
        <v>194</v>
      </c>
      <c r="B97" t="s">
        <v>736</v>
      </c>
      <c r="C97" t="s">
        <v>114</v>
      </c>
      <c r="D97" t="s">
        <v>115</v>
      </c>
      <c r="E97" t="s">
        <v>532</v>
      </c>
      <c r="F97" t="s">
        <v>737</v>
      </c>
      <c r="G97">
        <v>131072</v>
      </c>
      <c r="H97">
        <v>786432</v>
      </c>
      <c r="I97">
        <v>65536</v>
      </c>
      <c r="J97">
        <v>262144</v>
      </c>
      <c r="K97">
        <v>65536</v>
      </c>
      <c r="L97" t="s">
        <v>233</v>
      </c>
    </row>
    <row r="98" spans="1:12">
      <c r="A98" t="s">
        <v>195</v>
      </c>
      <c r="B98" t="s">
        <v>738</v>
      </c>
      <c r="C98" t="s">
        <v>117</v>
      </c>
      <c r="D98" t="s">
        <v>115</v>
      </c>
      <c r="E98" t="s">
        <v>532</v>
      </c>
      <c r="F98" t="s">
        <v>739</v>
      </c>
      <c r="G98">
        <v>131072</v>
      </c>
      <c r="H98">
        <v>786432</v>
      </c>
      <c r="I98">
        <v>65536</v>
      </c>
      <c r="J98">
        <v>262144</v>
      </c>
      <c r="K98">
        <v>65536</v>
      </c>
      <c r="L98" t="s">
        <v>233</v>
      </c>
    </row>
    <row r="99" spans="1:12">
      <c r="A99" t="s">
        <v>60</v>
      </c>
      <c r="B99" t="s">
        <v>740</v>
      </c>
      <c r="C99" t="s">
        <v>58</v>
      </c>
      <c r="D99" t="s">
        <v>52</v>
      </c>
      <c r="E99" t="s">
        <v>53</v>
      </c>
      <c r="F99" t="s">
        <v>741</v>
      </c>
      <c r="G99">
        <v>65536</v>
      </c>
      <c r="H99">
        <v>65536</v>
      </c>
      <c r="I99">
        <v>65536</v>
      </c>
      <c r="J99">
        <v>16384</v>
      </c>
      <c r="K99">
        <v>65536</v>
      </c>
      <c r="L99" t="s">
        <v>233</v>
      </c>
    </row>
    <row r="100" spans="1:12">
      <c r="A100" t="s">
        <v>88</v>
      </c>
      <c r="B100" t="s">
        <v>742</v>
      </c>
      <c r="C100" t="s">
        <v>64</v>
      </c>
      <c r="D100" t="s">
        <v>52</v>
      </c>
      <c r="E100" t="s">
        <v>75</v>
      </c>
      <c r="F100" t="s">
        <v>743</v>
      </c>
      <c r="G100">
        <v>98304</v>
      </c>
      <c r="H100">
        <v>131072</v>
      </c>
      <c r="I100">
        <v>65536</v>
      </c>
      <c r="J100">
        <v>32768</v>
      </c>
      <c r="K100">
        <v>32768</v>
      </c>
      <c r="L100" t="s">
        <v>234</v>
      </c>
    </row>
    <row r="101" spans="1:12">
      <c r="A101" t="s">
        <v>89</v>
      </c>
      <c r="B101" t="s">
        <v>744</v>
      </c>
      <c r="C101" t="s">
        <v>64</v>
      </c>
      <c r="D101" t="s">
        <v>52</v>
      </c>
      <c r="E101" t="s">
        <v>90</v>
      </c>
      <c r="F101" t="s">
        <v>745</v>
      </c>
      <c r="G101">
        <v>98304</v>
      </c>
      <c r="H101">
        <v>1048576</v>
      </c>
      <c r="I101">
        <v>524288</v>
      </c>
      <c r="J101">
        <v>65536</v>
      </c>
      <c r="K101">
        <v>65536</v>
      </c>
      <c r="L101" t="s">
        <v>234</v>
      </c>
    </row>
    <row r="102" spans="1:12">
      <c r="A102" t="s">
        <v>746</v>
      </c>
      <c r="B102" t="s">
        <v>747</v>
      </c>
      <c r="C102" t="s">
        <v>114</v>
      </c>
      <c r="D102" t="s">
        <v>115</v>
      </c>
      <c r="E102" t="s">
        <v>532</v>
      </c>
      <c r="F102" t="s">
        <v>748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233</v>
      </c>
    </row>
    <row r="103" spans="1:12">
      <c r="A103" t="s">
        <v>61</v>
      </c>
      <c r="B103" t="s">
        <v>749</v>
      </c>
      <c r="C103" t="s">
        <v>58</v>
      </c>
      <c r="D103" t="s">
        <v>52</v>
      </c>
      <c r="E103" t="s">
        <v>62</v>
      </c>
      <c r="F103" t="s">
        <v>750</v>
      </c>
      <c r="G103">
        <v>65536</v>
      </c>
      <c r="H103">
        <v>131072</v>
      </c>
      <c r="I103">
        <v>65536</v>
      </c>
      <c r="J103">
        <v>32768</v>
      </c>
      <c r="K103">
        <v>32768</v>
      </c>
      <c r="L103" t="s">
        <v>234</v>
      </c>
    </row>
    <row r="104" spans="1:12">
      <c r="A104" t="s">
        <v>91</v>
      </c>
      <c r="B104" t="s">
        <v>751</v>
      </c>
      <c r="C104" t="s">
        <v>64</v>
      </c>
      <c r="D104" t="s">
        <v>52</v>
      </c>
      <c r="E104" t="s">
        <v>73</v>
      </c>
      <c r="F104" t="s">
        <v>752</v>
      </c>
      <c r="G104">
        <v>98304</v>
      </c>
      <c r="H104">
        <v>1310720</v>
      </c>
      <c r="I104">
        <v>1048576</v>
      </c>
      <c r="J104">
        <v>131072</v>
      </c>
      <c r="K104">
        <v>65536</v>
      </c>
      <c r="L104" t="s">
        <v>234</v>
      </c>
    </row>
    <row r="105" spans="1:12">
      <c r="A105" t="s">
        <v>753</v>
      </c>
      <c r="B105" t="s">
        <v>754</v>
      </c>
      <c r="C105" t="s">
        <v>628</v>
      </c>
      <c r="D105" t="s">
        <v>52</v>
      </c>
      <c r="E105" t="s">
        <v>53</v>
      </c>
      <c r="F105" t="s">
        <v>755</v>
      </c>
      <c r="G105">
        <v>65536</v>
      </c>
      <c r="H105">
        <v>65536</v>
      </c>
      <c r="I105">
        <v>65536</v>
      </c>
      <c r="J105">
        <v>16384</v>
      </c>
      <c r="K105">
        <v>65536</v>
      </c>
      <c r="L105" t="s">
        <v>234</v>
      </c>
    </row>
    <row r="106" spans="1:12">
      <c r="A106" t="s">
        <v>92</v>
      </c>
      <c r="B106" t="s">
        <v>756</v>
      </c>
      <c r="C106" t="s">
        <v>64</v>
      </c>
      <c r="D106" t="s">
        <v>52</v>
      </c>
      <c r="E106" t="s">
        <v>75</v>
      </c>
      <c r="F106" t="s">
        <v>757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234</v>
      </c>
    </row>
    <row r="107" spans="1:12">
      <c r="A107" t="s">
        <v>93</v>
      </c>
      <c r="B107" t="s">
        <v>758</v>
      </c>
      <c r="C107" t="s">
        <v>64</v>
      </c>
      <c r="D107" t="s">
        <v>52</v>
      </c>
      <c r="E107" t="s">
        <v>73</v>
      </c>
      <c r="F107" t="s">
        <v>759</v>
      </c>
      <c r="G107">
        <v>98304</v>
      </c>
      <c r="H107">
        <v>1310720</v>
      </c>
      <c r="I107">
        <v>1048576</v>
      </c>
      <c r="J107">
        <v>131072</v>
      </c>
      <c r="K107">
        <v>65536</v>
      </c>
      <c r="L107" t="s">
        <v>234</v>
      </c>
    </row>
    <row r="108" spans="1:12">
      <c r="A108" t="s">
        <v>94</v>
      </c>
      <c r="B108" t="s">
        <v>760</v>
      </c>
      <c r="C108" t="s">
        <v>64</v>
      </c>
      <c r="D108" t="s">
        <v>52</v>
      </c>
      <c r="E108" t="s">
        <v>197</v>
      </c>
      <c r="F108" t="s">
        <v>761</v>
      </c>
      <c r="G108">
        <v>98304</v>
      </c>
      <c r="H108">
        <v>1310720</v>
      </c>
      <c r="I108">
        <v>1048576</v>
      </c>
      <c r="J108">
        <v>131072</v>
      </c>
      <c r="K108">
        <v>65536</v>
      </c>
      <c r="L108" t="s">
        <v>234</v>
      </c>
    </row>
    <row r="109" spans="1:12">
      <c r="A109" t="s">
        <v>140</v>
      </c>
      <c r="B109" t="s">
        <v>762</v>
      </c>
      <c r="C109" t="s">
        <v>111</v>
      </c>
      <c r="D109" t="s">
        <v>52</v>
      </c>
      <c r="E109" t="s">
        <v>525</v>
      </c>
      <c r="F109" t="s">
        <v>763</v>
      </c>
      <c r="G109">
        <v>131072</v>
      </c>
      <c r="H109">
        <v>786432</v>
      </c>
      <c r="I109">
        <v>1048576</v>
      </c>
      <c r="J109">
        <v>262144</v>
      </c>
      <c r="K109">
        <v>65536</v>
      </c>
      <c r="L109" t="s">
        <v>233</v>
      </c>
    </row>
    <row r="110" spans="1:12">
      <c r="A110" t="s">
        <v>141</v>
      </c>
      <c r="B110" t="s">
        <v>764</v>
      </c>
      <c r="C110" t="s">
        <v>117</v>
      </c>
      <c r="D110" t="s">
        <v>115</v>
      </c>
      <c r="E110" t="s">
        <v>525</v>
      </c>
      <c r="F110" t="s">
        <v>765</v>
      </c>
      <c r="G110">
        <v>131072</v>
      </c>
      <c r="H110">
        <v>786432</v>
      </c>
      <c r="I110">
        <v>1048576</v>
      </c>
      <c r="J110">
        <v>262144</v>
      </c>
      <c r="K110">
        <v>65536</v>
      </c>
      <c r="L110" t="s">
        <v>233</v>
      </c>
    </row>
    <row r="111" spans="1:12">
      <c r="A111" t="s">
        <v>196</v>
      </c>
      <c r="B111" t="s">
        <v>766</v>
      </c>
      <c r="C111" t="s">
        <v>117</v>
      </c>
      <c r="D111" t="s">
        <v>115</v>
      </c>
      <c r="E111" t="s">
        <v>532</v>
      </c>
      <c r="F111" t="s">
        <v>767</v>
      </c>
      <c r="G111">
        <v>131072</v>
      </c>
      <c r="H111">
        <v>786432</v>
      </c>
      <c r="I111">
        <v>1048576</v>
      </c>
      <c r="J111">
        <v>131072</v>
      </c>
      <c r="K111">
        <v>65536</v>
      </c>
      <c r="L111" t="s">
        <v>233</v>
      </c>
    </row>
    <row r="112" spans="1:12">
      <c r="A112" t="s">
        <v>768</v>
      </c>
      <c r="B112" t="s">
        <v>769</v>
      </c>
      <c r="C112" t="s">
        <v>730</v>
      </c>
      <c r="D112" t="s">
        <v>52</v>
      </c>
      <c r="E112" t="s">
        <v>731</v>
      </c>
      <c r="F112" t="s">
        <v>770</v>
      </c>
      <c r="G112">
        <v>49152</v>
      </c>
      <c r="H112">
        <v>786432</v>
      </c>
      <c r="I112">
        <v>1048576</v>
      </c>
      <c r="J112">
        <v>131072</v>
      </c>
      <c r="K112">
        <v>65536</v>
      </c>
      <c r="L112" t="s">
        <v>234</v>
      </c>
    </row>
    <row r="113" spans="1:12">
      <c r="A113" t="s">
        <v>771</v>
      </c>
      <c r="B113" t="s">
        <v>772</v>
      </c>
      <c r="C113" t="s">
        <v>607</v>
      </c>
      <c r="D113" t="s">
        <v>554</v>
      </c>
      <c r="E113" t="s">
        <v>231</v>
      </c>
      <c r="F113" t="s">
        <v>773</v>
      </c>
      <c r="G113">
        <v>49152</v>
      </c>
      <c r="H113">
        <v>2359296</v>
      </c>
      <c r="I113">
        <v>1048576</v>
      </c>
      <c r="J113">
        <v>131072</v>
      </c>
      <c r="K113">
        <v>32768</v>
      </c>
      <c r="L113" t="s">
        <v>234</v>
      </c>
    </row>
    <row r="114" spans="1:12">
      <c r="A114" t="s">
        <v>774</v>
      </c>
      <c r="B114" t="s">
        <v>775</v>
      </c>
      <c r="C114" t="s">
        <v>607</v>
      </c>
      <c r="D114" t="s">
        <v>554</v>
      </c>
      <c r="E114" t="s">
        <v>106</v>
      </c>
      <c r="F114" t="s">
        <v>776</v>
      </c>
      <c r="G114">
        <v>49152</v>
      </c>
      <c r="H114">
        <v>2359296</v>
      </c>
      <c r="I114">
        <v>1048576</v>
      </c>
      <c r="J114">
        <v>131072</v>
      </c>
      <c r="K114">
        <v>32768</v>
      </c>
      <c r="L114" t="s">
        <v>234</v>
      </c>
    </row>
    <row r="115" spans="1:12">
      <c r="A115" t="s">
        <v>777</v>
      </c>
      <c r="B115" t="s">
        <v>778</v>
      </c>
      <c r="C115" t="s">
        <v>607</v>
      </c>
      <c r="D115" t="s">
        <v>554</v>
      </c>
      <c r="E115" t="s">
        <v>779</v>
      </c>
      <c r="F115" t="s">
        <v>780</v>
      </c>
      <c r="G115">
        <v>49152</v>
      </c>
      <c r="H115">
        <v>2359296</v>
      </c>
      <c r="I115">
        <v>1048576</v>
      </c>
      <c r="J115">
        <v>131072</v>
      </c>
      <c r="K115">
        <v>32768</v>
      </c>
      <c r="L115" t="s">
        <v>234</v>
      </c>
    </row>
    <row r="116" spans="1:12">
      <c r="A116" t="s">
        <v>781</v>
      </c>
      <c r="B116" t="s">
        <v>782</v>
      </c>
      <c r="C116" t="s">
        <v>553</v>
      </c>
      <c r="D116" t="s">
        <v>554</v>
      </c>
      <c r="E116" t="s">
        <v>179</v>
      </c>
      <c r="F116" t="s">
        <v>783</v>
      </c>
      <c r="G116">
        <v>49152</v>
      </c>
      <c r="H116">
        <v>2359296</v>
      </c>
      <c r="I116">
        <v>1048576</v>
      </c>
      <c r="J116">
        <v>131072</v>
      </c>
      <c r="K116">
        <v>32768</v>
      </c>
      <c r="L116" t="s">
        <v>233</v>
      </c>
    </row>
    <row r="117" spans="1:12">
      <c r="A117" t="s">
        <v>784</v>
      </c>
      <c r="B117" t="s">
        <v>785</v>
      </c>
      <c r="C117" t="s">
        <v>536</v>
      </c>
      <c r="D117" t="s">
        <v>52</v>
      </c>
      <c r="E117" t="s">
        <v>83</v>
      </c>
      <c r="F117" t="s">
        <v>786</v>
      </c>
      <c r="G117">
        <v>65536</v>
      </c>
      <c r="H117">
        <v>98304</v>
      </c>
      <c r="I117">
        <v>65536</v>
      </c>
      <c r="J117">
        <v>32768</v>
      </c>
      <c r="K117">
        <v>32768</v>
      </c>
      <c r="L117" t="s">
        <v>234</v>
      </c>
    </row>
    <row r="118" spans="1:12">
      <c r="A118" t="s">
        <v>787</v>
      </c>
      <c r="B118" t="s">
        <v>788</v>
      </c>
      <c r="C118" t="s">
        <v>789</v>
      </c>
      <c r="D118" t="s">
        <v>52</v>
      </c>
      <c r="E118" t="s">
        <v>83</v>
      </c>
      <c r="F118" t="s">
        <v>790</v>
      </c>
      <c r="G118">
        <v>65536</v>
      </c>
      <c r="H118">
        <v>98304</v>
      </c>
      <c r="I118">
        <v>65536</v>
      </c>
      <c r="J118">
        <v>32768</v>
      </c>
      <c r="K118">
        <v>32768</v>
      </c>
      <c r="L118" t="s">
        <v>234</v>
      </c>
    </row>
    <row r="119" spans="1:12">
      <c r="A119" t="s">
        <v>791</v>
      </c>
      <c r="B119" t="s">
        <v>792</v>
      </c>
      <c r="C119" t="s">
        <v>536</v>
      </c>
      <c r="D119" t="s">
        <v>52</v>
      </c>
      <c r="E119" t="s">
        <v>197</v>
      </c>
      <c r="F119" t="s">
        <v>793</v>
      </c>
      <c r="G119">
        <v>65536</v>
      </c>
      <c r="H119">
        <v>98304</v>
      </c>
      <c r="I119">
        <v>65536</v>
      </c>
      <c r="J119">
        <v>32768</v>
      </c>
      <c r="K119">
        <v>32768</v>
      </c>
      <c r="L119" t="s">
        <v>234</v>
      </c>
    </row>
    <row r="120" spans="1:12">
      <c r="A120" t="s">
        <v>198</v>
      </c>
      <c r="B120" t="s">
        <v>794</v>
      </c>
      <c r="C120" t="s">
        <v>114</v>
      </c>
      <c r="D120" t="s">
        <v>115</v>
      </c>
      <c r="E120" t="s">
        <v>230</v>
      </c>
      <c r="F120" t="s">
        <v>795</v>
      </c>
      <c r="G120">
        <v>131072</v>
      </c>
      <c r="H120">
        <v>786432</v>
      </c>
      <c r="I120">
        <v>65536</v>
      </c>
      <c r="J120">
        <v>131072</v>
      </c>
      <c r="K120">
        <v>65536</v>
      </c>
      <c r="L120" t="s">
        <v>234</v>
      </c>
    </row>
    <row r="121" spans="1:12">
      <c r="A121" t="s">
        <v>199</v>
      </c>
      <c r="B121" t="s">
        <v>796</v>
      </c>
      <c r="C121" t="s">
        <v>119</v>
      </c>
      <c r="D121" t="s">
        <v>115</v>
      </c>
      <c r="E121" t="s">
        <v>230</v>
      </c>
      <c r="F121" t="s">
        <v>797</v>
      </c>
      <c r="G121">
        <v>131072</v>
      </c>
      <c r="H121">
        <v>786432</v>
      </c>
      <c r="I121">
        <v>65536</v>
      </c>
      <c r="J121">
        <v>131072</v>
      </c>
      <c r="K121">
        <v>65536</v>
      </c>
      <c r="L121" t="s">
        <v>234</v>
      </c>
    </row>
    <row r="122" spans="1:12">
      <c r="A122" t="s">
        <v>798</v>
      </c>
      <c r="B122" t="s">
        <v>799</v>
      </c>
      <c r="C122" t="s">
        <v>536</v>
      </c>
      <c r="D122" t="s">
        <v>52</v>
      </c>
      <c r="E122" t="s">
        <v>230</v>
      </c>
      <c r="F122" t="s">
        <v>800</v>
      </c>
      <c r="G122">
        <v>65536</v>
      </c>
      <c r="H122">
        <v>131072</v>
      </c>
      <c r="I122">
        <v>65536</v>
      </c>
      <c r="J122">
        <v>32768</v>
      </c>
      <c r="K122">
        <v>32768</v>
      </c>
      <c r="L122" t="s">
        <v>234</v>
      </c>
    </row>
    <row r="123" spans="1:12">
      <c r="A123" t="s">
        <v>801</v>
      </c>
      <c r="B123" t="s">
        <v>802</v>
      </c>
      <c r="C123" t="s">
        <v>536</v>
      </c>
      <c r="D123" t="s">
        <v>52</v>
      </c>
      <c r="E123" t="s">
        <v>83</v>
      </c>
      <c r="F123" t="s">
        <v>803</v>
      </c>
      <c r="G123">
        <v>65536</v>
      </c>
      <c r="H123">
        <v>98304</v>
      </c>
      <c r="I123">
        <v>65536</v>
      </c>
      <c r="J123">
        <v>32768</v>
      </c>
      <c r="K123">
        <v>32768</v>
      </c>
      <c r="L123" t="s">
        <v>234</v>
      </c>
    </row>
    <row r="124" spans="1:12">
      <c r="A124" t="s">
        <v>804</v>
      </c>
      <c r="B124" t="s">
        <v>805</v>
      </c>
      <c r="C124" t="s">
        <v>114</v>
      </c>
      <c r="D124" t="s">
        <v>115</v>
      </c>
      <c r="E124" t="s">
        <v>230</v>
      </c>
      <c r="F124" t="s">
        <v>806</v>
      </c>
      <c r="G124">
        <v>131072</v>
      </c>
      <c r="H124">
        <v>786432</v>
      </c>
      <c r="I124">
        <v>65536</v>
      </c>
      <c r="J124">
        <v>131072</v>
      </c>
      <c r="K124">
        <v>65536</v>
      </c>
      <c r="L124" t="s">
        <v>234</v>
      </c>
    </row>
    <row r="125" spans="1:12">
      <c r="A125" t="s">
        <v>807</v>
      </c>
      <c r="B125" t="s">
        <v>808</v>
      </c>
      <c r="C125" t="s">
        <v>809</v>
      </c>
      <c r="D125" t="s">
        <v>52</v>
      </c>
      <c r="E125" t="s">
        <v>230</v>
      </c>
      <c r="F125" t="s">
        <v>810</v>
      </c>
      <c r="G125">
        <v>65536</v>
      </c>
      <c r="H125">
        <v>131072</v>
      </c>
      <c r="I125">
        <v>65536</v>
      </c>
      <c r="J125">
        <v>32768</v>
      </c>
      <c r="K125">
        <v>32768</v>
      </c>
      <c r="L125" t="s">
        <v>234</v>
      </c>
    </row>
    <row r="126" spans="1:12">
      <c r="A126" t="s">
        <v>811</v>
      </c>
      <c r="B126" t="s">
        <v>812</v>
      </c>
      <c r="C126" t="s">
        <v>536</v>
      </c>
      <c r="D126" t="s">
        <v>52</v>
      </c>
      <c r="E126" t="s">
        <v>230</v>
      </c>
      <c r="F126" t="s">
        <v>813</v>
      </c>
      <c r="G126">
        <v>65536</v>
      </c>
      <c r="H126">
        <v>131072</v>
      </c>
      <c r="I126">
        <v>65536</v>
      </c>
      <c r="J126">
        <v>32768</v>
      </c>
      <c r="K126">
        <v>32768</v>
      </c>
      <c r="L126" t="s">
        <v>234</v>
      </c>
    </row>
    <row r="127" spans="1:12">
      <c r="A127" t="s">
        <v>154</v>
      </c>
      <c r="B127" t="s">
        <v>165</v>
      </c>
      <c r="C127" t="s">
        <v>51</v>
      </c>
      <c r="D127" t="s">
        <v>52</v>
      </c>
      <c r="E127" t="s">
        <v>73</v>
      </c>
      <c r="F127" t="s">
        <v>814</v>
      </c>
      <c r="G127">
        <v>524288</v>
      </c>
      <c r="H127">
        <v>1048576</v>
      </c>
      <c r="I127">
        <v>524288</v>
      </c>
      <c r="J127">
        <v>32768</v>
      </c>
      <c r="K127">
        <v>65536</v>
      </c>
      <c r="L127" t="s">
        <v>233</v>
      </c>
    </row>
    <row r="128" spans="1:12">
      <c r="A128" t="s">
        <v>155</v>
      </c>
      <c r="B128" t="s">
        <v>166</v>
      </c>
      <c r="C128" t="s">
        <v>111</v>
      </c>
      <c r="D128" t="s">
        <v>52</v>
      </c>
      <c r="E128" t="s">
        <v>73</v>
      </c>
      <c r="F128" t="s">
        <v>815</v>
      </c>
      <c r="G128">
        <v>524288</v>
      </c>
      <c r="H128">
        <v>1048576</v>
      </c>
      <c r="I128">
        <v>524288</v>
      </c>
      <c r="J128">
        <v>32768</v>
      </c>
      <c r="K128">
        <v>65536</v>
      </c>
      <c r="L128" t="s">
        <v>233</v>
      </c>
    </row>
    <row r="129" spans="1:12">
      <c r="A129" t="s">
        <v>156</v>
      </c>
      <c r="B129" t="s">
        <v>816</v>
      </c>
      <c r="C129" t="s">
        <v>111</v>
      </c>
      <c r="D129" t="s">
        <v>52</v>
      </c>
      <c r="E129" t="s">
        <v>73</v>
      </c>
      <c r="F129" t="s">
        <v>817</v>
      </c>
      <c r="G129">
        <v>524288</v>
      </c>
      <c r="H129">
        <v>1048576</v>
      </c>
      <c r="I129">
        <v>524288</v>
      </c>
      <c r="J129">
        <v>32768</v>
      </c>
      <c r="K129">
        <v>65536</v>
      </c>
      <c r="L129" t="s">
        <v>233</v>
      </c>
    </row>
    <row r="130" spans="1:12">
      <c r="A130" t="s">
        <v>157</v>
      </c>
      <c r="B130" t="s">
        <v>818</v>
      </c>
      <c r="C130" t="s">
        <v>51</v>
      </c>
      <c r="D130" t="s">
        <v>52</v>
      </c>
      <c r="E130" t="s">
        <v>73</v>
      </c>
      <c r="F130" t="s">
        <v>819</v>
      </c>
      <c r="G130">
        <v>524288</v>
      </c>
      <c r="H130">
        <v>1048576</v>
      </c>
      <c r="I130">
        <v>524288</v>
      </c>
      <c r="J130">
        <v>32768</v>
      </c>
      <c r="K130">
        <v>65536</v>
      </c>
      <c r="L130" t="s">
        <v>233</v>
      </c>
    </row>
    <row r="131" spans="1:12">
      <c r="A131" t="s">
        <v>142</v>
      </c>
      <c r="B131" t="s">
        <v>820</v>
      </c>
      <c r="C131" t="s">
        <v>114</v>
      </c>
      <c r="D131" t="s">
        <v>115</v>
      </c>
      <c r="E131" t="s">
        <v>525</v>
      </c>
      <c r="F131" t="s">
        <v>821</v>
      </c>
      <c r="G131">
        <v>131072</v>
      </c>
      <c r="H131">
        <v>786432</v>
      </c>
      <c r="I131">
        <v>524288</v>
      </c>
      <c r="J131">
        <v>262144</v>
      </c>
      <c r="K131">
        <v>65536</v>
      </c>
      <c r="L131" t="s">
        <v>233</v>
      </c>
    </row>
    <row r="132" spans="1:12">
      <c r="A132" t="s">
        <v>143</v>
      </c>
      <c r="B132" t="s">
        <v>822</v>
      </c>
      <c r="C132" t="s">
        <v>114</v>
      </c>
      <c r="D132" t="s">
        <v>115</v>
      </c>
      <c r="E132" t="s">
        <v>525</v>
      </c>
      <c r="F132" t="s">
        <v>823</v>
      </c>
      <c r="G132">
        <v>131072</v>
      </c>
      <c r="H132">
        <v>786432</v>
      </c>
      <c r="I132">
        <v>524288</v>
      </c>
      <c r="J132">
        <v>262144</v>
      </c>
      <c r="K132">
        <v>65536</v>
      </c>
      <c r="L132" t="s">
        <v>233</v>
      </c>
    </row>
    <row r="133" spans="1:12">
      <c r="A133" t="s">
        <v>95</v>
      </c>
      <c r="B133" t="s">
        <v>824</v>
      </c>
      <c r="C133" t="s">
        <v>64</v>
      </c>
      <c r="D133" t="s">
        <v>52</v>
      </c>
      <c r="E133" t="s">
        <v>184</v>
      </c>
      <c r="F133" t="s">
        <v>825</v>
      </c>
      <c r="G133">
        <v>98304</v>
      </c>
      <c r="H133">
        <v>1310720</v>
      </c>
      <c r="I133">
        <v>1048576</v>
      </c>
      <c r="J133">
        <v>131072</v>
      </c>
      <c r="K133">
        <v>32768</v>
      </c>
      <c r="L133" t="s">
        <v>234</v>
      </c>
    </row>
    <row r="134" spans="1:12">
      <c r="A134" t="s">
        <v>96</v>
      </c>
      <c r="B134" t="s">
        <v>826</v>
      </c>
      <c r="C134" t="s">
        <v>64</v>
      </c>
      <c r="D134" t="s">
        <v>52</v>
      </c>
      <c r="E134" t="s">
        <v>184</v>
      </c>
      <c r="F134" t="s">
        <v>827</v>
      </c>
      <c r="G134">
        <v>98304</v>
      </c>
      <c r="H134">
        <v>1310720</v>
      </c>
      <c r="I134">
        <v>1048576</v>
      </c>
      <c r="J134">
        <v>131072</v>
      </c>
      <c r="K134">
        <v>32768</v>
      </c>
      <c r="L134" t="s">
        <v>234</v>
      </c>
    </row>
    <row r="135" spans="1:12">
      <c r="A135" t="s">
        <v>97</v>
      </c>
      <c r="B135" t="s">
        <v>828</v>
      </c>
      <c r="C135" t="s">
        <v>64</v>
      </c>
      <c r="D135" t="s">
        <v>52</v>
      </c>
      <c r="E135" t="s">
        <v>184</v>
      </c>
      <c r="F135" t="s">
        <v>829</v>
      </c>
      <c r="G135">
        <v>98304</v>
      </c>
      <c r="H135">
        <v>1310720</v>
      </c>
      <c r="I135">
        <v>1048576</v>
      </c>
      <c r="J135">
        <v>131072</v>
      </c>
      <c r="K135">
        <v>32768</v>
      </c>
      <c r="L135" t="s">
        <v>234</v>
      </c>
    </row>
    <row r="136" spans="1:12">
      <c r="A136" t="s">
        <v>98</v>
      </c>
      <c r="B136" t="s">
        <v>830</v>
      </c>
      <c r="C136" t="s">
        <v>64</v>
      </c>
      <c r="D136" t="s">
        <v>52</v>
      </c>
      <c r="E136" t="s">
        <v>184</v>
      </c>
      <c r="F136" t="s">
        <v>831</v>
      </c>
      <c r="G136">
        <v>98304</v>
      </c>
      <c r="H136">
        <v>1310720</v>
      </c>
      <c r="I136">
        <v>1048576</v>
      </c>
      <c r="J136">
        <v>131072</v>
      </c>
      <c r="K136">
        <v>32768</v>
      </c>
      <c r="L136" t="s">
        <v>234</v>
      </c>
    </row>
    <row r="137" spans="1:12">
      <c r="A137" t="s">
        <v>99</v>
      </c>
      <c r="B137" t="s">
        <v>832</v>
      </c>
      <c r="C137" t="s">
        <v>64</v>
      </c>
      <c r="D137" t="s">
        <v>52</v>
      </c>
      <c r="E137" t="s">
        <v>184</v>
      </c>
      <c r="F137" t="s">
        <v>833</v>
      </c>
      <c r="G137">
        <v>98304</v>
      </c>
      <c r="H137">
        <v>1310720</v>
      </c>
      <c r="I137">
        <v>1048576</v>
      </c>
      <c r="J137">
        <v>131072</v>
      </c>
      <c r="K137">
        <v>32768</v>
      </c>
      <c r="L137" t="s">
        <v>234</v>
      </c>
    </row>
    <row r="138" spans="1:12">
      <c r="A138" t="s">
        <v>100</v>
      </c>
      <c r="B138" t="s">
        <v>834</v>
      </c>
      <c r="C138" t="s">
        <v>64</v>
      </c>
      <c r="D138" t="s">
        <v>52</v>
      </c>
      <c r="E138" t="s">
        <v>184</v>
      </c>
      <c r="F138" t="s">
        <v>835</v>
      </c>
      <c r="G138">
        <v>98304</v>
      </c>
      <c r="H138">
        <v>1310720</v>
      </c>
      <c r="I138">
        <v>1048576</v>
      </c>
      <c r="J138">
        <v>131072</v>
      </c>
      <c r="K138">
        <v>32768</v>
      </c>
      <c r="L138" t="s">
        <v>234</v>
      </c>
    </row>
    <row r="139" spans="1:12">
      <c r="A139" t="s">
        <v>101</v>
      </c>
      <c r="B139" t="s">
        <v>836</v>
      </c>
      <c r="C139" t="s">
        <v>64</v>
      </c>
      <c r="D139" t="s">
        <v>52</v>
      </c>
      <c r="E139" t="s">
        <v>184</v>
      </c>
      <c r="F139" t="s">
        <v>837</v>
      </c>
      <c r="G139">
        <v>98304</v>
      </c>
      <c r="H139">
        <v>1310720</v>
      </c>
      <c r="I139">
        <v>1048576</v>
      </c>
      <c r="J139">
        <v>131072</v>
      </c>
      <c r="K139">
        <v>32768</v>
      </c>
      <c r="L139" t="s">
        <v>234</v>
      </c>
    </row>
    <row r="140" spans="1:12">
      <c r="A140" t="s">
        <v>102</v>
      </c>
      <c r="B140" t="s">
        <v>838</v>
      </c>
      <c r="C140" t="s">
        <v>64</v>
      </c>
      <c r="D140" t="s">
        <v>52</v>
      </c>
      <c r="E140" t="s">
        <v>184</v>
      </c>
      <c r="F140" t="s">
        <v>839</v>
      </c>
      <c r="G140">
        <v>98304</v>
      </c>
      <c r="H140">
        <v>1310720</v>
      </c>
      <c r="I140">
        <v>1048576</v>
      </c>
      <c r="J140">
        <v>131072</v>
      </c>
      <c r="K140">
        <v>32768</v>
      </c>
      <c r="L140" t="s">
        <v>234</v>
      </c>
    </row>
    <row r="141" spans="1:12">
      <c r="A141" t="s">
        <v>840</v>
      </c>
      <c r="B141" t="s">
        <v>841</v>
      </c>
      <c r="C141" t="s">
        <v>567</v>
      </c>
      <c r="D141" t="s">
        <v>554</v>
      </c>
      <c r="E141" t="s">
        <v>842</v>
      </c>
      <c r="F141" t="s">
        <v>843</v>
      </c>
      <c r="G141">
        <v>98304</v>
      </c>
      <c r="H141">
        <v>2359296</v>
      </c>
      <c r="I141">
        <v>1048576</v>
      </c>
      <c r="J141">
        <v>131072</v>
      </c>
      <c r="K141">
        <v>32768</v>
      </c>
      <c r="L141" t="s">
        <v>233</v>
      </c>
    </row>
    <row r="142" spans="1:12">
      <c r="A142" t="s">
        <v>844</v>
      </c>
      <c r="B142" t="s">
        <v>845</v>
      </c>
      <c r="C142" t="s">
        <v>607</v>
      </c>
      <c r="D142" t="s">
        <v>554</v>
      </c>
      <c r="E142" t="s">
        <v>779</v>
      </c>
      <c r="F142" t="s">
        <v>846</v>
      </c>
      <c r="G142">
        <v>98304</v>
      </c>
      <c r="H142">
        <v>2359296</v>
      </c>
      <c r="I142">
        <v>1048576</v>
      </c>
      <c r="J142">
        <v>131072</v>
      </c>
      <c r="K142">
        <v>32768</v>
      </c>
      <c r="L142" t="s">
        <v>233</v>
      </c>
    </row>
    <row r="143" spans="1:12">
      <c r="A143" t="s">
        <v>847</v>
      </c>
      <c r="B143" t="s">
        <v>848</v>
      </c>
      <c r="C143" t="s">
        <v>607</v>
      </c>
      <c r="D143" t="s">
        <v>554</v>
      </c>
      <c r="E143" t="s">
        <v>779</v>
      </c>
      <c r="F143" t="s">
        <v>849</v>
      </c>
      <c r="G143">
        <v>98304</v>
      </c>
      <c r="H143">
        <v>2359296</v>
      </c>
      <c r="I143">
        <v>1048576</v>
      </c>
      <c r="J143">
        <v>131072</v>
      </c>
      <c r="K143">
        <v>32768</v>
      </c>
      <c r="L143" t="s">
        <v>233</v>
      </c>
    </row>
    <row r="144" spans="1:12">
      <c r="A144" t="s">
        <v>158</v>
      </c>
      <c r="B144" t="s">
        <v>850</v>
      </c>
      <c r="C144" t="s">
        <v>114</v>
      </c>
      <c r="D144" t="s">
        <v>115</v>
      </c>
      <c r="E144" t="s">
        <v>73</v>
      </c>
      <c r="F144" t="s">
        <v>851</v>
      </c>
      <c r="G144">
        <v>524288</v>
      </c>
      <c r="H144">
        <v>1048576</v>
      </c>
      <c r="I144">
        <v>524288</v>
      </c>
      <c r="J144">
        <v>32768</v>
      </c>
      <c r="K144">
        <v>65536</v>
      </c>
      <c r="L144" t="s">
        <v>233</v>
      </c>
    </row>
    <row r="145" spans="1:12">
      <c r="A145" t="s">
        <v>144</v>
      </c>
      <c r="B145" t="s">
        <v>852</v>
      </c>
      <c r="C145" t="s">
        <v>119</v>
      </c>
      <c r="D145" t="s">
        <v>115</v>
      </c>
      <c r="E145" t="s">
        <v>179</v>
      </c>
      <c r="F145" t="s">
        <v>853</v>
      </c>
      <c r="G145">
        <v>131072</v>
      </c>
      <c r="H145">
        <v>786432</v>
      </c>
      <c r="I145">
        <v>524288</v>
      </c>
      <c r="J145">
        <v>262144</v>
      </c>
      <c r="K145">
        <v>65536</v>
      </c>
      <c r="L145" t="s">
        <v>233</v>
      </c>
    </row>
    <row r="146" spans="1:12">
      <c r="A146" t="s">
        <v>145</v>
      </c>
      <c r="B146" t="s">
        <v>854</v>
      </c>
      <c r="C146" t="s">
        <v>119</v>
      </c>
      <c r="D146" t="s">
        <v>115</v>
      </c>
      <c r="E146" t="s">
        <v>179</v>
      </c>
      <c r="F146" t="s">
        <v>855</v>
      </c>
      <c r="G146">
        <v>131072</v>
      </c>
      <c r="H146">
        <v>786432</v>
      </c>
      <c r="I146">
        <v>524288</v>
      </c>
      <c r="J146">
        <v>262144</v>
      </c>
      <c r="K146">
        <v>65536</v>
      </c>
      <c r="L146" t="s">
        <v>233</v>
      </c>
    </row>
    <row r="147" spans="1:12">
      <c r="A147" t="s">
        <v>146</v>
      </c>
      <c r="B147" t="s">
        <v>856</v>
      </c>
      <c r="C147" t="s">
        <v>139</v>
      </c>
      <c r="D147" t="s">
        <v>115</v>
      </c>
      <c r="E147" t="s">
        <v>179</v>
      </c>
      <c r="F147" t="s">
        <v>857</v>
      </c>
      <c r="G147">
        <v>131072</v>
      </c>
      <c r="H147">
        <v>786432</v>
      </c>
      <c r="I147">
        <v>524288</v>
      </c>
      <c r="J147">
        <v>262144</v>
      </c>
      <c r="K147">
        <v>65536</v>
      </c>
      <c r="L147" t="s">
        <v>233</v>
      </c>
    </row>
    <row r="148" spans="1:12">
      <c r="A148" t="s">
        <v>147</v>
      </c>
      <c r="B148" t="s">
        <v>858</v>
      </c>
      <c r="C148" t="s">
        <v>117</v>
      </c>
      <c r="D148" t="s">
        <v>115</v>
      </c>
      <c r="E148" t="s">
        <v>525</v>
      </c>
      <c r="F148" t="s">
        <v>859</v>
      </c>
      <c r="G148">
        <v>131072</v>
      </c>
      <c r="H148">
        <v>786432</v>
      </c>
      <c r="I148">
        <v>524288</v>
      </c>
      <c r="J148">
        <v>262144</v>
      </c>
      <c r="K148">
        <v>65536</v>
      </c>
      <c r="L148" t="s">
        <v>233</v>
      </c>
    </row>
    <row r="149" spans="1:12">
      <c r="A149" t="s">
        <v>148</v>
      </c>
      <c r="B149" t="s">
        <v>860</v>
      </c>
      <c r="C149" t="s">
        <v>114</v>
      </c>
      <c r="D149" t="s">
        <v>115</v>
      </c>
      <c r="E149" t="s">
        <v>525</v>
      </c>
      <c r="F149" t="s">
        <v>861</v>
      </c>
      <c r="G149">
        <v>131072</v>
      </c>
      <c r="H149">
        <v>786432</v>
      </c>
      <c r="I149">
        <v>524288</v>
      </c>
      <c r="J149">
        <v>262144</v>
      </c>
      <c r="K149">
        <v>65536</v>
      </c>
      <c r="L149" t="s">
        <v>233</v>
      </c>
    </row>
    <row r="150" spans="1:12">
      <c r="A150" t="s">
        <v>200</v>
      </c>
      <c r="B150" t="s">
        <v>862</v>
      </c>
      <c r="C150" t="s">
        <v>114</v>
      </c>
      <c r="D150" t="s">
        <v>115</v>
      </c>
      <c r="E150" t="s">
        <v>532</v>
      </c>
      <c r="F150" t="s">
        <v>863</v>
      </c>
      <c r="G150">
        <v>131072</v>
      </c>
      <c r="H150">
        <v>786432</v>
      </c>
      <c r="I150">
        <v>524288</v>
      </c>
      <c r="J150">
        <v>262144</v>
      </c>
      <c r="K150">
        <v>65536</v>
      </c>
      <c r="L150" t="s">
        <v>233</v>
      </c>
    </row>
    <row r="151" spans="1:12">
      <c r="A151" t="s">
        <v>201</v>
      </c>
      <c r="B151" t="s">
        <v>864</v>
      </c>
      <c r="C151" t="s">
        <v>117</v>
      </c>
      <c r="D151" t="s">
        <v>115</v>
      </c>
      <c r="E151" t="s">
        <v>532</v>
      </c>
      <c r="F151" t="s">
        <v>865</v>
      </c>
      <c r="G151">
        <v>131072</v>
      </c>
      <c r="H151">
        <v>786432</v>
      </c>
      <c r="I151">
        <v>524288</v>
      </c>
      <c r="J151">
        <v>262144</v>
      </c>
      <c r="K151">
        <v>65536</v>
      </c>
      <c r="L151" t="s">
        <v>233</v>
      </c>
    </row>
    <row r="152" spans="1:12">
      <c r="A152" t="s">
        <v>159</v>
      </c>
      <c r="B152" t="s">
        <v>866</v>
      </c>
      <c r="C152" t="s">
        <v>114</v>
      </c>
      <c r="D152" t="s">
        <v>115</v>
      </c>
      <c r="E152" t="s">
        <v>160</v>
      </c>
      <c r="F152" t="s">
        <v>867</v>
      </c>
      <c r="G152">
        <v>524288</v>
      </c>
      <c r="H152">
        <v>1048576</v>
      </c>
      <c r="I152">
        <v>524288</v>
      </c>
      <c r="J152">
        <v>32768</v>
      </c>
      <c r="K152">
        <v>65536</v>
      </c>
      <c r="L152" t="s">
        <v>233</v>
      </c>
    </row>
    <row r="153" spans="1:12">
      <c r="A153" t="s">
        <v>868</v>
      </c>
      <c r="B153" t="s">
        <v>869</v>
      </c>
      <c r="C153" t="s">
        <v>870</v>
      </c>
      <c r="D153" t="s">
        <v>554</v>
      </c>
      <c r="E153" t="s">
        <v>871</v>
      </c>
      <c r="F153" t="s">
        <v>872</v>
      </c>
      <c r="G153">
        <v>98304</v>
      </c>
      <c r="H153">
        <v>131072</v>
      </c>
      <c r="I153">
        <v>65536</v>
      </c>
      <c r="J153">
        <v>32768</v>
      </c>
      <c r="K153">
        <v>32768</v>
      </c>
      <c r="L153" t="s">
        <v>233</v>
      </c>
    </row>
    <row r="154" spans="1:12">
      <c r="A154" t="s">
        <v>873</v>
      </c>
      <c r="B154" t="s">
        <v>874</v>
      </c>
      <c r="C154" t="s">
        <v>875</v>
      </c>
      <c r="D154" t="s">
        <v>115</v>
      </c>
      <c r="E154" t="s">
        <v>179</v>
      </c>
      <c r="F154" t="s">
        <v>876</v>
      </c>
      <c r="G154">
        <v>131072</v>
      </c>
      <c r="H154">
        <v>786432</v>
      </c>
      <c r="I154">
        <v>65536</v>
      </c>
      <c r="J154">
        <v>262144</v>
      </c>
      <c r="K154">
        <v>65536</v>
      </c>
      <c r="L154" t="s">
        <v>233</v>
      </c>
    </row>
    <row r="155" spans="1:12">
      <c r="A155" t="s">
        <v>877</v>
      </c>
      <c r="B155" t="s">
        <v>878</v>
      </c>
      <c r="C155" t="s">
        <v>875</v>
      </c>
      <c r="D155" t="s">
        <v>115</v>
      </c>
      <c r="E155" t="s">
        <v>179</v>
      </c>
      <c r="F155" t="s">
        <v>879</v>
      </c>
      <c r="G155">
        <v>131072</v>
      </c>
      <c r="H155">
        <v>786432</v>
      </c>
      <c r="I155">
        <v>65536</v>
      </c>
      <c r="J155">
        <v>262144</v>
      </c>
      <c r="K155">
        <v>65536</v>
      </c>
      <c r="L155" t="s">
        <v>233</v>
      </c>
    </row>
    <row r="156" spans="1:12">
      <c r="A156" t="s">
        <v>880</v>
      </c>
      <c r="B156" t="s">
        <v>881</v>
      </c>
      <c r="C156" t="s">
        <v>870</v>
      </c>
      <c r="D156" t="s">
        <v>554</v>
      </c>
      <c r="E156" t="s">
        <v>871</v>
      </c>
      <c r="F156" t="s">
        <v>882</v>
      </c>
      <c r="G156">
        <v>524288</v>
      </c>
      <c r="H156">
        <v>1048576</v>
      </c>
      <c r="I156">
        <v>524288</v>
      </c>
      <c r="J156">
        <v>32768</v>
      </c>
      <c r="K156">
        <v>65536</v>
      </c>
      <c r="L156" t="s">
        <v>233</v>
      </c>
    </row>
    <row r="157" spans="1:12">
      <c r="A157" t="s">
        <v>883</v>
      </c>
      <c r="B157" t="s">
        <v>884</v>
      </c>
      <c r="C157" t="s">
        <v>885</v>
      </c>
      <c r="D157" t="s">
        <v>115</v>
      </c>
      <c r="E157" t="s">
        <v>532</v>
      </c>
      <c r="F157" t="s">
        <v>886</v>
      </c>
      <c r="G157">
        <v>131072</v>
      </c>
      <c r="H157">
        <v>786432</v>
      </c>
      <c r="I157">
        <v>524288</v>
      </c>
      <c r="J157">
        <v>262144</v>
      </c>
      <c r="K157">
        <v>65536</v>
      </c>
      <c r="L157" t="s">
        <v>233</v>
      </c>
    </row>
    <row r="158" spans="1:12">
      <c r="A158" t="s">
        <v>887</v>
      </c>
      <c r="B158" t="s">
        <v>888</v>
      </c>
      <c r="C158" t="s">
        <v>628</v>
      </c>
      <c r="D158" t="s">
        <v>52</v>
      </c>
      <c r="E158" t="s">
        <v>889</v>
      </c>
      <c r="F158" t="s">
        <v>890</v>
      </c>
      <c r="G158">
        <v>65536</v>
      </c>
      <c r="H158">
        <v>65536</v>
      </c>
      <c r="I158">
        <v>65536</v>
      </c>
      <c r="J158">
        <v>16384</v>
      </c>
      <c r="K158">
        <v>65536</v>
      </c>
      <c r="L158" t="s">
        <v>233</v>
      </c>
    </row>
    <row r="159" spans="1:12">
      <c r="A159" t="s">
        <v>103</v>
      </c>
      <c r="B159" t="s">
        <v>891</v>
      </c>
      <c r="C159" t="s">
        <v>64</v>
      </c>
      <c r="D159" t="s">
        <v>52</v>
      </c>
      <c r="E159" t="s">
        <v>75</v>
      </c>
      <c r="F159" t="s">
        <v>892</v>
      </c>
      <c r="G159">
        <v>98304</v>
      </c>
      <c r="H159">
        <v>131072</v>
      </c>
      <c r="I159">
        <v>65536</v>
      </c>
      <c r="J159">
        <v>32768</v>
      </c>
      <c r="K159">
        <v>32768</v>
      </c>
      <c r="L159" t="s">
        <v>233</v>
      </c>
    </row>
    <row r="160" spans="1:12">
      <c r="A160" t="s">
        <v>104</v>
      </c>
      <c r="B160" t="s">
        <v>893</v>
      </c>
      <c r="C160" t="s">
        <v>64</v>
      </c>
      <c r="D160" t="s">
        <v>52</v>
      </c>
      <c r="E160" t="s">
        <v>66</v>
      </c>
      <c r="F160" t="s">
        <v>894</v>
      </c>
      <c r="G160">
        <v>98304</v>
      </c>
      <c r="H160">
        <v>131072</v>
      </c>
      <c r="I160">
        <v>65536</v>
      </c>
      <c r="J160">
        <v>32768</v>
      </c>
      <c r="K160">
        <v>32768</v>
      </c>
      <c r="L160" t="s">
        <v>233</v>
      </c>
    </row>
    <row r="161" spans="1:12">
      <c r="A161" t="s">
        <v>105</v>
      </c>
      <c r="B161" t="s">
        <v>895</v>
      </c>
      <c r="C161" t="s">
        <v>64</v>
      </c>
      <c r="D161" t="s">
        <v>52</v>
      </c>
      <c r="E161" t="s">
        <v>106</v>
      </c>
      <c r="F161" t="s">
        <v>896</v>
      </c>
      <c r="G161">
        <v>98304</v>
      </c>
      <c r="H161">
        <v>1048576</v>
      </c>
      <c r="I161">
        <v>524288</v>
      </c>
      <c r="J161">
        <v>32768</v>
      </c>
      <c r="K161">
        <v>65536</v>
      </c>
      <c r="L161" t="s">
        <v>233</v>
      </c>
    </row>
    <row r="162" spans="1:12">
      <c r="A162" t="s">
        <v>107</v>
      </c>
      <c r="B162" t="s">
        <v>897</v>
      </c>
      <c r="C162" t="s">
        <v>64</v>
      </c>
      <c r="D162" t="s">
        <v>52</v>
      </c>
      <c r="E162" t="s">
        <v>75</v>
      </c>
      <c r="F162" t="s">
        <v>898</v>
      </c>
      <c r="G162">
        <v>98304</v>
      </c>
      <c r="H162">
        <v>1048576</v>
      </c>
      <c r="I162">
        <v>524288</v>
      </c>
      <c r="J162">
        <v>32768</v>
      </c>
      <c r="K162">
        <v>65536</v>
      </c>
      <c r="L162" t="s">
        <v>233</v>
      </c>
    </row>
    <row r="163" spans="1:12">
      <c r="A163" t="s">
        <v>161</v>
      </c>
      <c r="B163" t="s">
        <v>899</v>
      </c>
      <c r="C163" t="s">
        <v>111</v>
      </c>
      <c r="D163" t="s">
        <v>52</v>
      </c>
      <c r="E163" t="s">
        <v>73</v>
      </c>
      <c r="F163" t="s">
        <v>900</v>
      </c>
      <c r="G163">
        <v>524288</v>
      </c>
      <c r="H163">
        <v>1048576</v>
      </c>
      <c r="I163">
        <v>524288</v>
      </c>
      <c r="J163">
        <v>32768</v>
      </c>
      <c r="K163">
        <v>65536</v>
      </c>
      <c r="L163" t="s">
        <v>233</v>
      </c>
    </row>
    <row r="164" spans="1:12">
      <c r="A164" t="s">
        <v>162</v>
      </c>
      <c r="B164" t="s">
        <v>901</v>
      </c>
      <c r="C164" t="s">
        <v>51</v>
      </c>
      <c r="D164" t="s">
        <v>52</v>
      </c>
      <c r="E164" t="s">
        <v>73</v>
      </c>
      <c r="F164" t="s">
        <v>902</v>
      </c>
      <c r="G164">
        <v>524288</v>
      </c>
      <c r="H164">
        <v>1048576</v>
      </c>
      <c r="I164">
        <v>524288</v>
      </c>
      <c r="J164">
        <v>32768</v>
      </c>
      <c r="K164">
        <v>65536</v>
      </c>
      <c r="L164" t="s">
        <v>233</v>
      </c>
    </row>
    <row r="165" spans="1:12">
      <c r="A165" t="s">
        <v>149</v>
      </c>
      <c r="B165" t="s">
        <v>903</v>
      </c>
      <c r="C165" t="s">
        <v>114</v>
      </c>
      <c r="D165" t="s">
        <v>115</v>
      </c>
      <c r="E165" t="s">
        <v>525</v>
      </c>
      <c r="F165" t="s">
        <v>904</v>
      </c>
      <c r="G165">
        <v>131072</v>
      </c>
      <c r="H165">
        <v>786432</v>
      </c>
      <c r="I165">
        <v>524288</v>
      </c>
      <c r="J165">
        <v>262144</v>
      </c>
      <c r="K165">
        <v>65536</v>
      </c>
      <c r="L165" t="s">
        <v>233</v>
      </c>
    </row>
    <row r="166" spans="1:12">
      <c r="A166" t="s">
        <v>202</v>
      </c>
      <c r="B166" t="s">
        <v>905</v>
      </c>
      <c r="C166" t="s">
        <v>114</v>
      </c>
      <c r="D166" t="s">
        <v>115</v>
      </c>
      <c r="E166" t="s">
        <v>532</v>
      </c>
      <c r="F166" t="s">
        <v>906</v>
      </c>
      <c r="G166">
        <v>131072</v>
      </c>
      <c r="H166">
        <v>786432</v>
      </c>
      <c r="I166">
        <v>524288</v>
      </c>
      <c r="J166">
        <v>262144</v>
      </c>
      <c r="K166">
        <v>65536</v>
      </c>
      <c r="L166" t="s">
        <v>233</v>
      </c>
    </row>
    <row r="167" spans="1:12">
      <c r="A167" t="s">
        <v>907</v>
      </c>
      <c r="B167" t="s">
        <v>908</v>
      </c>
      <c r="C167" t="s">
        <v>909</v>
      </c>
      <c r="D167" t="s">
        <v>52</v>
      </c>
      <c r="E167" t="s">
        <v>62</v>
      </c>
      <c r="F167" t="s">
        <v>910</v>
      </c>
      <c r="G167">
        <v>65536</v>
      </c>
      <c r="H167">
        <v>131072</v>
      </c>
      <c r="I167">
        <v>65536</v>
      </c>
      <c r="J167">
        <v>32768</v>
      </c>
      <c r="K167">
        <v>32768</v>
      </c>
      <c r="L167" t="s">
        <v>233</v>
      </c>
    </row>
  </sheetData>
  <autoFilter ref="A1:R114" xr:uid="{00000000-0009-0000-0000-000000000000}"/>
  <sortState xmlns:xlrd2="http://schemas.microsoft.com/office/spreadsheetml/2017/richdata2"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A501-F145-4B6C-AA48-C875B8634FB4}">
  <sheetPr codeName="Feuil1"/>
  <dimension ref="A1:J49"/>
  <sheetViews>
    <sheetView workbookViewId="0">
      <pane ySplit="1" topLeftCell="A20" activePane="bottomLeft" state="frozen"/>
      <selection pane="bottomLeft" activeCell="H44" sqref="H44"/>
    </sheetView>
  </sheetViews>
  <sheetFormatPr baseColWidth="10" defaultRowHeight="15"/>
  <sheetData>
    <row r="1" spans="1:10">
      <c r="A1" s="1" t="s">
        <v>912</v>
      </c>
      <c r="J1" t="s">
        <v>911</v>
      </c>
    </row>
    <row r="2" spans="1:10">
      <c r="A2" s="71" t="s">
        <v>243</v>
      </c>
      <c r="J2" t="s">
        <v>913</v>
      </c>
    </row>
    <row r="3" spans="1:10">
      <c r="A3" s="71" t="s">
        <v>244</v>
      </c>
      <c r="J3" t="s">
        <v>914</v>
      </c>
    </row>
    <row r="4" spans="1:10">
      <c r="A4" s="71" t="s">
        <v>253</v>
      </c>
      <c r="J4" t="s">
        <v>915</v>
      </c>
    </row>
    <row r="5" spans="1:10">
      <c r="A5" s="71" t="s">
        <v>916</v>
      </c>
      <c r="J5" t="s">
        <v>917</v>
      </c>
    </row>
    <row r="6" spans="1:10">
      <c r="A6" s="71" t="s">
        <v>254</v>
      </c>
      <c r="J6" t="s">
        <v>918</v>
      </c>
    </row>
    <row r="7" spans="1:10">
      <c r="A7" s="71" t="s">
        <v>260</v>
      </c>
      <c r="J7" t="s">
        <v>919</v>
      </c>
    </row>
    <row r="8" spans="1:10">
      <c r="A8" s="71" t="s">
        <v>261</v>
      </c>
      <c r="J8" t="s">
        <v>920</v>
      </c>
    </row>
    <row r="9" spans="1:10">
      <c r="A9" s="71" t="s">
        <v>283</v>
      </c>
      <c r="J9" t="s">
        <v>921</v>
      </c>
    </row>
    <row r="10" spans="1:10">
      <c r="A10" s="71" t="s">
        <v>285</v>
      </c>
      <c r="J10" t="s">
        <v>922</v>
      </c>
    </row>
    <row r="11" spans="1:10">
      <c r="A11" s="71" t="s">
        <v>286</v>
      </c>
      <c r="J11" t="s">
        <v>923</v>
      </c>
    </row>
    <row r="12" spans="1:10">
      <c r="A12" s="71" t="s">
        <v>287</v>
      </c>
      <c r="J12" t="s">
        <v>924</v>
      </c>
    </row>
    <row r="13" spans="1:10">
      <c r="A13" s="71" t="s">
        <v>288</v>
      </c>
      <c r="J13" t="s">
        <v>925</v>
      </c>
    </row>
    <row r="14" spans="1:10">
      <c r="A14" s="72" t="s">
        <v>289</v>
      </c>
      <c r="C14" s="73" t="s">
        <v>926</v>
      </c>
    </row>
    <row r="15" spans="1:10">
      <c r="A15" s="71" t="s">
        <v>303</v>
      </c>
      <c r="J15" t="s">
        <v>927</v>
      </c>
    </row>
    <row r="16" spans="1:10">
      <c r="A16" s="71" t="s">
        <v>305</v>
      </c>
      <c r="J16" t="s">
        <v>928</v>
      </c>
    </row>
    <row r="17" spans="1:10">
      <c r="A17" s="71" t="s">
        <v>304</v>
      </c>
      <c r="J17" t="s">
        <v>929</v>
      </c>
    </row>
    <row r="18" spans="1:10">
      <c r="A18" s="71" t="s">
        <v>307</v>
      </c>
      <c r="J18" t="s">
        <v>930</v>
      </c>
    </row>
    <row r="19" spans="1:10">
      <c r="A19" s="71" t="s">
        <v>306</v>
      </c>
      <c r="J19" t="s">
        <v>931</v>
      </c>
    </row>
    <row r="20" spans="1:10">
      <c r="A20" s="71" t="s">
        <v>308</v>
      </c>
      <c r="J20" t="s">
        <v>932</v>
      </c>
    </row>
    <row r="21" spans="1:10">
      <c r="A21" s="71" t="s">
        <v>310</v>
      </c>
      <c r="J21" t="s">
        <v>933</v>
      </c>
    </row>
    <row r="22" spans="1:10">
      <c r="A22" s="71" t="s">
        <v>309</v>
      </c>
      <c r="J22" t="s">
        <v>934</v>
      </c>
    </row>
    <row r="23" spans="1:10">
      <c r="A23" s="71" t="s">
        <v>311</v>
      </c>
      <c r="J23" t="s">
        <v>935</v>
      </c>
    </row>
    <row r="24" spans="1:10">
      <c r="A24" s="71" t="s">
        <v>312</v>
      </c>
      <c r="J24" t="s">
        <v>936</v>
      </c>
    </row>
    <row r="25" spans="1:10">
      <c r="A25" s="71" t="s">
        <v>313</v>
      </c>
      <c r="J25" t="s">
        <v>937</v>
      </c>
    </row>
    <row r="26" spans="1:10">
      <c r="A26" s="71" t="s">
        <v>314</v>
      </c>
      <c r="J26" t="s">
        <v>938</v>
      </c>
    </row>
    <row r="27" spans="1:10">
      <c r="A27" s="71" t="s">
        <v>315</v>
      </c>
      <c r="J27" t="s">
        <v>939</v>
      </c>
    </row>
    <row r="28" spans="1:10">
      <c r="A28" s="71" t="s">
        <v>317</v>
      </c>
      <c r="J28" t="s">
        <v>940</v>
      </c>
    </row>
    <row r="29" spans="1:10">
      <c r="A29" s="71" t="s">
        <v>319</v>
      </c>
      <c r="J29" t="s">
        <v>941</v>
      </c>
    </row>
    <row r="30" spans="1:10">
      <c r="A30" s="71" t="s">
        <v>318</v>
      </c>
      <c r="J30" t="s">
        <v>942</v>
      </c>
    </row>
    <row r="31" spans="1:10">
      <c r="A31" s="71" t="s">
        <v>943</v>
      </c>
      <c r="J31" t="s">
        <v>944</v>
      </c>
    </row>
    <row r="32" spans="1:10">
      <c r="A32" s="71" t="s">
        <v>945</v>
      </c>
      <c r="J32" t="s">
        <v>946</v>
      </c>
    </row>
    <row r="33" spans="1:10">
      <c r="A33" s="71" t="s">
        <v>328</v>
      </c>
      <c r="J33" t="s">
        <v>947</v>
      </c>
    </row>
    <row r="34" spans="1:10">
      <c r="A34" s="71" t="s">
        <v>329</v>
      </c>
      <c r="J34" t="s">
        <v>948</v>
      </c>
    </row>
    <row r="35" spans="1:10">
      <c r="A35" s="71" t="s">
        <v>332</v>
      </c>
      <c r="J35" t="s">
        <v>949</v>
      </c>
    </row>
    <row r="36" spans="1:10">
      <c r="A36" s="71" t="s">
        <v>333</v>
      </c>
      <c r="J36" t="s">
        <v>950</v>
      </c>
    </row>
    <row r="37" spans="1:10">
      <c r="A37" s="71" t="s">
        <v>951</v>
      </c>
      <c r="J37" t="s">
        <v>952</v>
      </c>
    </row>
    <row r="38" spans="1:10">
      <c r="A38" s="71" t="s">
        <v>343</v>
      </c>
      <c r="J38" t="s">
        <v>953</v>
      </c>
    </row>
    <row r="39" spans="1:10">
      <c r="A39" s="71" t="s">
        <v>344</v>
      </c>
      <c r="J39" t="s">
        <v>954</v>
      </c>
    </row>
    <row r="40" spans="1:10">
      <c r="A40" s="71" t="s">
        <v>345</v>
      </c>
      <c r="J40" t="s">
        <v>955</v>
      </c>
    </row>
    <row r="41" spans="1:10">
      <c r="A41" s="72" t="s">
        <v>350</v>
      </c>
    </row>
    <row r="42" spans="1:10">
      <c r="A42" s="71" t="s">
        <v>363</v>
      </c>
      <c r="J42" t="s">
        <v>956</v>
      </c>
    </row>
    <row r="43" spans="1:10">
      <c r="A43" s="71" t="s">
        <v>364</v>
      </c>
      <c r="J43" t="s">
        <v>957</v>
      </c>
    </row>
    <row r="44" spans="1:10">
      <c r="A44" s="71" t="s">
        <v>380</v>
      </c>
      <c r="J44" t="s">
        <v>958</v>
      </c>
    </row>
    <row r="45" spans="1:10">
      <c r="A45" s="71" t="s">
        <v>381</v>
      </c>
      <c r="J45" t="s">
        <v>959</v>
      </c>
    </row>
    <row r="46" spans="1:10">
      <c r="A46" s="71" t="s">
        <v>382</v>
      </c>
      <c r="J46" t="s">
        <v>960</v>
      </c>
    </row>
    <row r="47" spans="1:10">
      <c r="A47" s="71" t="s">
        <v>383</v>
      </c>
      <c r="J47" t="s">
        <v>961</v>
      </c>
    </row>
    <row r="48" spans="1:10">
      <c r="A48" s="72" t="s">
        <v>389</v>
      </c>
      <c r="C48" s="73" t="s">
        <v>926</v>
      </c>
    </row>
    <row r="49" spans="1:10">
      <c r="A49" s="71" t="s">
        <v>398</v>
      </c>
      <c r="J49" t="s">
        <v>962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19" t="s">
        <v>238</v>
      </c>
      <c r="B1" s="19" t="s">
        <v>239</v>
      </c>
      <c r="D1" t="s">
        <v>422</v>
      </c>
      <c r="G1" t="s">
        <v>423</v>
      </c>
      <c r="H1" t="s">
        <v>424</v>
      </c>
      <c r="I1" t="s">
        <v>425</v>
      </c>
      <c r="N1" s="5" t="s">
        <v>472</v>
      </c>
    </row>
    <row r="2" spans="1:17" ht="15.75" thickBot="1">
      <c r="A2" s="20" t="s">
        <v>240</v>
      </c>
      <c r="B2" s="21">
        <v>65536</v>
      </c>
      <c r="D2" t="s">
        <v>426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26"/>
      <c r="N2" s="5" t="s">
        <v>418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2" t="s">
        <v>241</v>
      </c>
      <c r="B3" s="23">
        <v>64</v>
      </c>
      <c r="D3" t="s">
        <v>427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27"/>
      <c r="N3" s="5" t="s">
        <v>400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0" t="s">
        <v>242</v>
      </c>
      <c r="B4" s="21">
        <v>64</v>
      </c>
      <c r="D4" t="s">
        <v>428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28"/>
      <c r="N4" s="5" t="s">
        <v>401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2" t="s">
        <v>243</v>
      </c>
      <c r="B5" s="23">
        <v>65536</v>
      </c>
      <c r="C5">
        <f>POWER(16,4)</f>
        <v>65536</v>
      </c>
      <c r="D5" t="s">
        <v>429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29"/>
      <c r="N5" s="5" t="s">
        <v>473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0" t="s">
        <v>244</v>
      </c>
      <c r="B6" s="21">
        <v>65536</v>
      </c>
      <c r="C6">
        <f>POWER(256,3)</f>
        <v>16777216</v>
      </c>
      <c r="D6" t="s">
        <v>430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0"/>
      <c r="N6" s="5" t="s">
        <v>474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2" t="s">
        <v>245</v>
      </c>
      <c r="B7" s="23">
        <v>65536</v>
      </c>
      <c r="D7" t="s">
        <v>431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1"/>
      <c r="N7" s="5" t="s">
        <v>475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0" t="s">
        <v>246</v>
      </c>
      <c r="B8" s="21">
        <v>65536</v>
      </c>
      <c r="D8" t="s">
        <v>432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2"/>
      <c r="N8" s="5" t="s">
        <v>476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2" t="s">
        <v>247</v>
      </c>
      <c r="B9" s="23">
        <v>14</v>
      </c>
      <c r="D9" t="s">
        <v>433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3"/>
      <c r="N9" s="5" t="s">
        <v>477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0" t="s">
        <v>248</v>
      </c>
      <c r="B10" s="21">
        <v>14</v>
      </c>
      <c r="D10" t="s">
        <v>434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4"/>
      <c r="N10" s="5" t="s">
        <v>478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2" t="s">
        <v>249</v>
      </c>
      <c r="B11" s="23">
        <v>64</v>
      </c>
      <c r="D11" t="s">
        <v>435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5"/>
      <c r="N11" s="5" t="s">
        <v>412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0" t="s">
        <v>250</v>
      </c>
      <c r="B12" s="21">
        <v>64</v>
      </c>
      <c r="D12" t="s">
        <v>436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36"/>
      <c r="N12" s="5" t="s">
        <v>416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2" t="s">
        <v>251</v>
      </c>
      <c r="B13" s="23">
        <v>64</v>
      </c>
      <c r="D13" t="s">
        <v>437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37"/>
      <c r="N13" s="5" t="s">
        <v>411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0" t="s">
        <v>252</v>
      </c>
      <c r="B14" s="21">
        <v>64</v>
      </c>
      <c r="D14" t="s">
        <v>438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38"/>
      <c r="N14" s="5" t="s">
        <v>479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2" t="s">
        <v>253</v>
      </c>
      <c r="B15" s="23">
        <v>65536</v>
      </c>
      <c r="D15" t="s">
        <v>439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39"/>
      <c r="N15" s="5" t="s">
        <v>480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0" t="s">
        <v>254</v>
      </c>
      <c r="B16" s="21">
        <v>65536</v>
      </c>
      <c r="D16" t="s">
        <v>440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0"/>
      <c r="N16" s="5" t="s">
        <v>481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2" t="s">
        <v>255</v>
      </c>
      <c r="B17" s="23">
        <v>2</v>
      </c>
      <c r="D17" t="s">
        <v>441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1"/>
      <c r="N17" s="5" t="s">
        <v>482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0" t="s">
        <v>256</v>
      </c>
      <c r="B18" s="21">
        <v>65536</v>
      </c>
      <c r="D18" t="s">
        <v>442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2"/>
      <c r="N18" s="5" t="s">
        <v>483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2" t="s">
        <v>257</v>
      </c>
      <c r="B19" s="23">
        <v>64</v>
      </c>
      <c r="D19" t="s">
        <v>443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3"/>
      <c r="N19" s="5" t="s">
        <v>402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0" t="s">
        <v>258</v>
      </c>
      <c r="B20" s="21">
        <v>64</v>
      </c>
      <c r="D20" t="s">
        <v>444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4"/>
      <c r="N20" s="5" t="s">
        <v>484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2" t="s">
        <v>259</v>
      </c>
      <c r="B21" s="23">
        <v>64</v>
      </c>
      <c r="D21" t="s">
        <v>445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5"/>
      <c r="N21" s="5" t="s">
        <v>485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0" t="s">
        <v>260</v>
      </c>
      <c r="B22" s="21">
        <v>65536</v>
      </c>
      <c r="D22" t="s">
        <v>446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46"/>
      <c r="N22" s="5" t="s">
        <v>486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2" t="s">
        <v>261</v>
      </c>
      <c r="B23" s="23">
        <v>65536</v>
      </c>
      <c r="D23" t="s">
        <v>447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47"/>
      <c r="N23" s="5" t="s">
        <v>487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0" t="s">
        <v>262</v>
      </c>
      <c r="B24" s="21">
        <v>65536</v>
      </c>
      <c r="D24" t="s">
        <v>448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48"/>
      <c r="N24" s="5" t="s">
        <v>488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2" t="s">
        <v>263</v>
      </c>
      <c r="B25" s="23">
        <v>65536</v>
      </c>
      <c r="D25" t="s">
        <v>449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49"/>
      <c r="N25" s="5" t="s">
        <v>409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0" t="s">
        <v>264</v>
      </c>
      <c r="B26" s="21">
        <v>65536</v>
      </c>
      <c r="D26" t="s">
        <v>450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0"/>
      <c r="N26" s="5" t="s">
        <v>420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2" t="s">
        <v>265</v>
      </c>
      <c r="B27" s="23">
        <v>65536</v>
      </c>
      <c r="D27" t="s">
        <v>451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1"/>
      <c r="N27" s="5" t="s">
        <v>408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0" t="s">
        <v>266</v>
      </c>
      <c r="B28" s="21">
        <v>65536</v>
      </c>
      <c r="D28" t="s">
        <v>452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2"/>
      <c r="N28" s="5" t="s">
        <v>414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2" t="s">
        <v>267</v>
      </c>
      <c r="B29" s="23">
        <v>2</v>
      </c>
      <c r="D29" t="s">
        <v>453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3"/>
      <c r="N29" s="5" t="s">
        <v>410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0" t="s">
        <v>268</v>
      </c>
      <c r="B30" s="21">
        <v>2</v>
      </c>
      <c r="D30" t="s">
        <v>454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4"/>
      <c r="N30" s="5" t="s">
        <v>489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2" t="s">
        <v>269</v>
      </c>
      <c r="B31" s="23">
        <v>65536</v>
      </c>
      <c r="D31" t="s">
        <v>455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5"/>
      <c r="N31" s="5" t="s">
        <v>413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0" t="s">
        <v>270</v>
      </c>
      <c r="B32" s="21">
        <v>65536</v>
      </c>
      <c r="D32" t="s">
        <v>456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56"/>
      <c r="N32" s="5" t="s">
        <v>415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2" t="s">
        <v>271</v>
      </c>
      <c r="B33" s="23">
        <v>65536</v>
      </c>
      <c r="D33" t="s">
        <v>457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57"/>
      <c r="N33" s="5" t="s">
        <v>406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0" t="s">
        <v>272</v>
      </c>
      <c r="B34" s="21">
        <v>65536</v>
      </c>
      <c r="D34" t="s">
        <v>458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58"/>
      <c r="N34" s="5" t="s">
        <v>490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2" t="s">
        <v>273</v>
      </c>
      <c r="B35" s="23">
        <v>65536</v>
      </c>
      <c r="D35" t="s">
        <v>459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59"/>
      <c r="N35" s="5" t="s">
        <v>403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0" t="s">
        <v>274</v>
      </c>
      <c r="B36" s="21">
        <v>65536</v>
      </c>
      <c r="D36" t="s">
        <v>460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0"/>
      <c r="N36" s="5" t="s">
        <v>491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2" t="s">
        <v>275</v>
      </c>
      <c r="B37" s="23">
        <v>65536</v>
      </c>
      <c r="D37" t="s">
        <v>461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1"/>
      <c r="N37" s="5" t="s">
        <v>492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0" t="s">
        <v>276</v>
      </c>
      <c r="B38" s="21">
        <v>65536</v>
      </c>
      <c r="D38" t="s">
        <v>462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2"/>
      <c r="N38" s="5" t="s">
        <v>407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2" t="s">
        <v>277</v>
      </c>
      <c r="B39" s="23">
        <v>65536</v>
      </c>
      <c r="D39" t="s">
        <v>463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3"/>
      <c r="N39" s="5" t="s">
        <v>417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0" t="s">
        <v>278</v>
      </c>
      <c r="B40" s="21">
        <v>65536</v>
      </c>
      <c r="D40" t="s">
        <v>464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4"/>
      <c r="N40" s="5" t="s">
        <v>493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2" t="s">
        <v>279</v>
      </c>
      <c r="B41" s="23">
        <v>65536</v>
      </c>
      <c r="D41" t="s">
        <v>465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5"/>
      <c r="N41" s="5" t="s">
        <v>419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0" t="s">
        <v>280</v>
      </c>
      <c r="B42" s="21">
        <v>65536</v>
      </c>
      <c r="D42" t="s">
        <v>466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66"/>
      <c r="N42" s="5" t="s">
        <v>494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2" t="s">
        <v>281</v>
      </c>
      <c r="B43" s="23">
        <v>64</v>
      </c>
      <c r="D43" t="s">
        <v>467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67"/>
      <c r="N43" s="5" t="s">
        <v>421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0" t="s">
        <v>282</v>
      </c>
      <c r="B44" s="21">
        <v>64</v>
      </c>
      <c r="D44" t="s">
        <v>468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68"/>
      <c r="N44" s="5" t="s">
        <v>405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2" t="s">
        <v>283</v>
      </c>
      <c r="B45" s="23">
        <v>64</v>
      </c>
      <c r="D45" t="s">
        <v>469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404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0" t="s">
        <v>284</v>
      </c>
      <c r="B46" s="21">
        <v>64</v>
      </c>
      <c r="D46" t="s">
        <v>470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69"/>
      <c r="N46" s="5" t="s">
        <v>495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2" t="s">
        <v>285</v>
      </c>
      <c r="B47" s="23">
        <v>65536</v>
      </c>
      <c r="D47" t="s">
        <v>471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0"/>
      <c r="N47" s="5" t="s">
        <v>496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0" t="s">
        <v>286</v>
      </c>
      <c r="B48" s="21">
        <v>65536</v>
      </c>
    </row>
    <row r="49" spans="1:2" ht="30.75" thickBot="1">
      <c r="A49" s="22" t="s">
        <v>287</v>
      </c>
      <c r="B49" s="23">
        <v>65536</v>
      </c>
    </row>
    <row r="50" spans="1:2" ht="45.75" thickBot="1">
      <c r="A50" s="20" t="s">
        <v>288</v>
      </c>
      <c r="B50" s="21">
        <v>65536</v>
      </c>
    </row>
    <row r="51" spans="1:2" ht="15.75" thickBot="1">
      <c r="A51" s="22" t="s">
        <v>289</v>
      </c>
      <c r="B51" s="23">
        <v>65536</v>
      </c>
    </row>
    <row r="52" spans="1:2" ht="30.75" thickBot="1">
      <c r="A52" s="20" t="s">
        <v>290</v>
      </c>
      <c r="B52" s="21">
        <v>14</v>
      </c>
    </row>
    <row r="53" spans="1:2" ht="15.75" thickBot="1">
      <c r="A53" s="22" t="s">
        <v>291</v>
      </c>
      <c r="B53" s="23">
        <v>14</v>
      </c>
    </row>
    <row r="54" spans="1:2" ht="15.75" thickBot="1">
      <c r="A54" s="20" t="s">
        <v>292</v>
      </c>
      <c r="B54" s="21">
        <v>64</v>
      </c>
    </row>
    <row r="55" spans="1:2" ht="15.75" thickBot="1">
      <c r="A55" s="22" t="s">
        <v>293</v>
      </c>
      <c r="B55" s="23">
        <v>64</v>
      </c>
    </row>
    <row r="56" spans="1:2" ht="15.75" thickBot="1">
      <c r="A56" s="20" t="s">
        <v>294</v>
      </c>
      <c r="B56" s="21">
        <v>64</v>
      </c>
    </row>
    <row r="57" spans="1:2" ht="15.75" thickBot="1">
      <c r="A57" s="22" t="s">
        <v>295</v>
      </c>
      <c r="B57" s="23">
        <v>64</v>
      </c>
    </row>
    <row r="58" spans="1:2" ht="15.75" thickBot="1">
      <c r="A58" s="20" t="s">
        <v>296</v>
      </c>
      <c r="B58" s="21">
        <v>64</v>
      </c>
    </row>
    <row r="59" spans="1:2" ht="15.75" thickBot="1">
      <c r="A59" s="22" t="s">
        <v>297</v>
      </c>
      <c r="B59" s="23">
        <v>64</v>
      </c>
    </row>
    <row r="60" spans="1:2" ht="30.75" thickBot="1">
      <c r="A60" s="20" t="s">
        <v>298</v>
      </c>
      <c r="B60" s="21">
        <v>64</v>
      </c>
    </row>
    <row r="61" spans="1:2" ht="45.75" thickBot="1">
      <c r="A61" s="22" t="s">
        <v>299</v>
      </c>
      <c r="B61" s="23">
        <v>64</v>
      </c>
    </row>
    <row r="62" spans="1:2" ht="30.75" thickBot="1">
      <c r="A62" s="20" t="s">
        <v>300</v>
      </c>
      <c r="B62" s="21">
        <v>64</v>
      </c>
    </row>
    <row r="63" spans="1:2" ht="45.75" thickBot="1">
      <c r="A63" s="22" t="s">
        <v>301</v>
      </c>
      <c r="B63" s="23">
        <v>64</v>
      </c>
    </row>
    <row r="64" spans="1:2" ht="90.75" thickBot="1">
      <c r="A64" s="20" t="s">
        <v>302</v>
      </c>
      <c r="B64" s="21">
        <v>64</v>
      </c>
    </row>
    <row r="65" spans="1:2" ht="15.75" thickBot="1">
      <c r="A65" s="22" t="s">
        <v>303</v>
      </c>
      <c r="B65" s="23">
        <v>64</v>
      </c>
    </row>
    <row r="66" spans="1:2" ht="15.75" thickBot="1">
      <c r="A66" s="20" t="s">
        <v>304</v>
      </c>
      <c r="B66" s="21">
        <v>64</v>
      </c>
    </row>
    <row r="67" spans="1:2" ht="30.75" thickBot="1">
      <c r="A67" s="22" t="s">
        <v>305</v>
      </c>
      <c r="B67" s="23">
        <v>64</v>
      </c>
    </row>
    <row r="68" spans="1:2" ht="15.75" thickBot="1">
      <c r="A68" s="20" t="s">
        <v>306</v>
      </c>
      <c r="B68" s="21">
        <v>64</v>
      </c>
    </row>
    <row r="69" spans="1:2" ht="15.75" thickBot="1">
      <c r="A69" s="22" t="s">
        <v>307</v>
      </c>
      <c r="B69" s="23">
        <v>64</v>
      </c>
    </row>
    <row r="70" spans="1:2" ht="45.75" thickBot="1">
      <c r="A70" s="20" t="s">
        <v>308</v>
      </c>
      <c r="B70" s="21">
        <v>64</v>
      </c>
    </row>
    <row r="71" spans="1:2" ht="15.75" thickBot="1">
      <c r="A71" s="22" t="s">
        <v>309</v>
      </c>
      <c r="B71" s="23">
        <v>64</v>
      </c>
    </row>
    <row r="72" spans="1:2" ht="30.75" thickBot="1">
      <c r="A72" s="20" t="s">
        <v>310</v>
      </c>
      <c r="B72" s="21">
        <v>64</v>
      </c>
    </row>
    <row r="73" spans="1:2" ht="15.75" thickBot="1">
      <c r="A73" s="22" t="s">
        <v>311</v>
      </c>
      <c r="B73" s="23">
        <v>65536</v>
      </c>
    </row>
    <row r="74" spans="1:2" ht="45.75" thickBot="1">
      <c r="A74" s="20" t="s">
        <v>312</v>
      </c>
      <c r="B74" s="21">
        <v>65536</v>
      </c>
    </row>
    <row r="75" spans="1:2" ht="45.75" thickBot="1">
      <c r="A75" s="22" t="s">
        <v>313</v>
      </c>
      <c r="B75" s="23">
        <v>65536</v>
      </c>
    </row>
    <row r="76" spans="1:2" ht="15.75" thickBot="1">
      <c r="A76" s="20" t="s">
        <v>314</v>
      </c>
      <c r="B76" s="21">
        <v>64</v>
      </c>
    </row>
    <row r="77" spans="1:2" ht="30.75" thickBot="1">
      <c r="A77" s="22" t="s">
        <v>315</v>
      </c>
      <c r="B77" s="23">
        <v>64</v>
      </c>
    </row>
    <row r="78" spans="1:2" ht="15.75" thickBot="1">
      <c r="A78" s="20" t="s">
        <v>316</v>
      </c>
      <c r="B78" s="21">
        <v>64</v>
      </c>
    </row>
    <row r="79" spans="1:2" ht="15.75" thickBot="1">
      <c r="A79" s="22" t="s">
        <v>317</v>
      </c>
      <c r="B79" s="23">
        <v>65536</v>
      </c>
    </row>
    <row r="80" spans="1:2" ht="15.75" thickBot="1">
      <c r="A80" s="20" t="s">
        <v>318</v>
      </c>
      <c r="B80" s="21">
        <v>65536</v>
      </c>
    </row>
    <row r="81" spans="1:2" ht="15.75" thickBot="1">
      <c r="A81" s="22" t="s">
        <v>319</v>
      </c>
      <c r="B81" s="23">
        <v>65536</v>
      </c>
    </row>
    <row r="82" spans="1:2" ht="15.75" thickBot="1">
      <c r="A82" s="20" t="s">
        <v>320</v>
      </c>
      <c r="B82" s="21">
        <v>14</v>
      </c>
    </row>
    <row r="83" spans="1:2" ht="15.75" thickBot="1">
      <c r="A83" s="22" t="s">
        <v>321</v>
      </c>
      <c r="B83" s="23">
        <v>14</v>
      </c>
    </row>
    <row r="84" spans="1:2" ht="15.75" thickBot="1">
      <c r="A84" s="20" t="s">
        <v>322</v>
      </c>
      <c r="B84" s="21">
        <v>64</v>
      </c>
    </row>
    <row r="85" spans="1:2" ht="15.75" thickBot="1">
      <c r="A85" s="22" t="s">
        <v>323</v>
      </c>
      <c r="B85" s="23">
        <v>64</v>
      </c>
    </row>
    <row r="86" spans="1:2" ht="15.75" thickBot="1">
      <c r="A86" s="20" t="s">
        <v>324</v>
      </c>
      <c r="B86" s="21">
        <v>64</v>
      </c>
    </row>
    <row r="87" spans="1:2" ht="15.75" thickBot="1">
      <c r="A87" s="22" t="s">
        <v>325</v>
      </c>
      <c r="B87" s="23">
        <v>64</v>
      </c>
    </row>
    <row r="88" spans="1:2" ht="15.75" thickBot="1">
      <c r="A88" s="20" t="s">
        <v>326</v>
      </c>
      <c r="B88" s="21">
        <v>64</v>
      </c>
    </row>
    <row r="89" spans="1:2" ht="15.75" thickBot="1">
      <c r="A89" s="22" t="s">
        <v>327</v>
      </c>
      <c r="B89" s="23">
        <v>64</v>
      </c>
    </row>
    <row r="90" spans="1:2" ht="15.75" thickBot="1">
      <c r="A90" s="20" t="s">
        <v>328</v>
      </c>
      <c r="B90" s="21">
        <v>65536</v>
      </c>
    </row>
    <row r="91" spans="1:2" ht="15.75" thickBot="1">
      <c r="A91" s="22" t="s">
        <v>329</v>
      </c>
      <c r="B91" s="23">
        <v>65536</v>
      </c>
    </row>
    <row r="92" spans="1:2" ht="15.75" thickBot="1">
      <c r="A92" s="20" t="s">
        <v>330</v>
      </c>
      <c r="B92" s="21">
        <v>8</v>
      </c>
    </row>
    <row r="93" spans="1:2" ht="15.75" thickBot="1">
      <c r="A93" s="22" t="s">
        <v>331</v>
      </c>
      <c r="B93" s="23">
        <v>8</v>
      </c>
    </row>
    <row r="94" spans="1:2" ht="15.75" thickBot="1">
      <c r="A94" s="20" t="s">
        <v>332</v>
      </c>
      <c r="B94" s="21">
        <v>65536</v>
      </c>
    </row>
    <row r="95" spans="1:2" ht="15.75" thickBot="1">
      <c r="A95" s="22" t="s">
        <v>333</v>
      </c>
      <c r="B95" s="23">
        <v>65536</v>
      </c>
    </row>
    <row r="96" spans="1:2" ht="15.75" thickBot="1">
      <c r="A96" s="20" t="s">
        <v>334</v>
      </c>
      <c r="B96" s="21">
        <v>14</v>
      </c>
    </row>
    <row r="97" spans="1:2" ht="15.75" thickBot="1">
      <c r="A97" s="22" t="s">
        <v>335</v>
      </c>
      <c r="B97" s="23">
        <v>64</v>
      </c>
    </row>
    <row r="98" spans="1:2" ht="15.75" thickBot="1">
      <c r="A98" s="20" t="s">
        <v>336</v>
      </c>
      <c r="B98" s="21">
        <v>64</v>
      </c>
    </row>
    <row r="99" spans="1:2" ht="15.75" thickBot="1">
      <c r="A99" s="22" t="s">
        <v>337</v>
      </c>
      <c r="B99" s="23">
        <v>14</v>
      </c>
    </row>
    <row r="100" spans="1:2" ht="15.75" thickBot="1">
      <c r="A100" s="20" t="s">
        <v>338</v>
      </c>
      <c r="B100" s="21">
        <v>64</v>
      </c>
    </row>
    <row r="101" spans="1:2" ht="15.75" thickBot="1">
      <c r="A101" s="22" t="s">
        <v>339</v>
      </c>
      <c r="B101" s="23">
        <v>14</v>
      </c>
    </row>
    <row r="102" spans="1:2" ht="15.75" thickBot="1">
      <c r="A102" s="20" t="s">
        <v>340</v>
      </c>
      <c r="B102" s="21">
        <v>64</v>
      </c>
    </row>
    <row r="103" spans="1:2" ht="15.75" thickBot="1">
      <c r="A103" s="22" t="s">
        <v>341</v>
      </c>
      <c r="B103" s="23">
        <v>64</v>
      </c>
    </row>
    <row r="104" spans="1:2" ht="15.75" thickBot="1">
      <c r="A104" s="20" t="s">
        <v>342</v>
      </c>
      <c r="B104" s="21">
        <v>64</v>
      </c>
    </row>
    <row r="105" spans="1:2" ht="15.75" thickBot="1">
      <c r="A105" s="22" t="s">
        <v>343</v>
      </c>
      <c r="B105" s="23">
        <v>64</v>
      </c>
    </row>
    <row r="106" spans="1:2" ht="15.75" thickBot="1">
      <c r="A106" s="20" t="s">
        <v>344</v>
      </c>
      <c r="B106" s="21">
        <v>65536</v>
      </c>
    </row>
    <row r="107" spans="1:2" ht="15.75" thickBot="1">
      <c r="A107" s="22" t="s">
        <v>345</v>
      </c>
      <c r="B107" s="23">
        <v>65536</v>
      </c>
    </row>
    <row r="108" spans="1:2" ht="15.75" thickBot="1">
      <c r="A108" s="20" t="s">
        <v>346</v>
      </c>
      <c r="B108" s="21">
        <v>8</v>
      </c>
    </row>
    <row r="109" spans="1:2" ht="30.75" thickBot="1">
      <c r="A109" s="22" t="s">
        <v>347</v>
      </c>
      <c r="B109" s="23">
        <v>65536</v>
      </c>
    </row>
    <row r="110" spans="1:2" ht="15.75" thickBot="1">
      <c r="A110" s="20" t="s">
        <v>348</v>
      </c>
      <c r="B110" s="21">
        <v>65536</v>
      </c>
    </row>
    <row r="111" spans="1:2" ht="30.75" thickBot="1">
      <c r="A111" s="22" t="s">
        <v>349</v>
      </c>
      <c r="B111" s="23">
        <v>65536</v>
      </c>
    </row>
    <row r="112" spans="1:2" ht="15.75" thickBot="1">
      <c r="A112" s="20" t="s">
        <v>350</v>
      </c>
      <c r="B112" s="21">
        <v>65536</v>
      </c>
    </row>
    <row r="113" spans="1:2" ht="30.75" thickBot="1">
      <c r="A113" s="22" t="s">
        <v>351</v>
      </c>
      <c r="B113" s="23">
        <v>2</v>
      </c>
    </row>
    <row r="114" spans="1:2" ht="30.75" thickBot="1">
      <c r="A114" s="20" t="s">
        <v>352</v>
      </c>
      <c r="B114" s="21">
        <v>2</v>
      </c>
    </row>
    <row r="115" spans="1:2" ht="15.75" thickBot="1">
      <c r="A115" s="22" t="s">
        <v>353</v>
      </c>
      <c r="B115" s="23">
        <v>2</v>
      </c>
    </row>
    <row r="116" spans="1:2" ht="15.75" thickBot="1">
      <c r="A116" s="20" t="s">
        <v>354</v>
      </c>
      <c r="B116" s="21">
        <v>65536</v>
      </c>
    </row>
    <row r="117" spans="1:2" ht="15.75" thickBot="1">
      <c r="A117" s="22" t="s">
        <v>355</v>
      </c>
      <c r="B117" s="23">
        <v>65536</v>
      </c>
    </row>
    <row r="118" spans="1:2" ht="30.75" thickBot="1">
      <c r="A118" s="20" t="s">
        <v>356</v>
      </c>
      <c r="B118" s="21">
        <v>2</v>
      </c>
    </row>
    <row r="119" spans="1:2" ht="15.75" thickBot="1">
      <c r="A119" s="22" t="s">
        <v>357</v>
      </c>
      <c r="B119" s="23">
        <v>2</v>
      </c>
    </row>
    <row r="120" spans="1:2" ht="30.75" thickBot="1">
      <c r="A120" s="20" t="s">
        <v>358</v>
      </c>
      <c r="B120" s="21">
        <v>65536</v>
      </c>
    </row>
    <row r="121" spans="1:2" ht="15.75" thickBot="1">
      <c r="A121" s="22" t="s">
        <v>359</v>
      </c>
      <c r="B121" s="23">
        <v>2</v>
      </c>
    </row>
    <row r="122" spans="1:2" ht="15.75" thickBot="1">
      <c r="A122" s="20" t="s">
        <v>360</v>
      </c>
      <c r="B122" s="21">
        <v>2</v>
      </c>
    </row>
    <row r="123" spans="1:2" ht="15.75" thickBot="1">
      <c r="A123" s="22" t="s">
        <v>165</v>
      </c>
      <c r="B123" s="23">
        <v>64</v>
      </c>
    </row>
    <row r="124" spans="1:2" ht="15.75" thickBot="1">
      <c r="A124" s="20" t="s">
        <v>166</v>
      </c>
      <c r="B124" s="21">
        <v>64</v>
      </c>
    </row>
    <row r="125" spans="1:2" ht="15.75" thickBot="1">
      <c r="A125" s="22" t="s">
        <v>361</v>
      </c>
      <c r="B125" s="23">
        <v>64</v>
      </c>
    </row>
    <row r="126" spans="1:2" ht="15.75" thickBot="1">
      <c r="A126" s="20" t="s">
        <v>362</v>
      </c>
      <c r="B126" s="21">
        <v>64</v>
      </c>
    </row>
    <row r="127" spans="1:2" ht="75.75" thickBot="1">
      <c r="A127" s="22" t="s">
        <v>363</v>
      </c>
      <c r="B127" s="23">
        <v>65536</v>
      </c>
    </row>
    <row r="128" spans="1:2" ht="15.75" thickBot="1">
      <c r="A128" s="20" t="s">
        <v>364</v>
      </c>
      <c r="B128" s="21">
        <v>65536</v>
      </c>
    </row>
    <row r="129" spans="1:2" ht="15.75" thickBot="1">
      <c r="A129" s="22" t="s">
        <v>365</v>
      </c>
      <c r="B129" s="23">
        <v>64</v>
      </c>
    </row>
    <row r="130" spans="1:2" ht="15.75" thickBot="1">
      <c r="A130" s="20" t="s">
        <v>366</v>
      </c>
      <c r="B130" s="21">
        <v>64</v>
      </c>
    </row>
    <row r="131" spans="1:2" ht="15.75" thickBot="1">
      <c r="A131" s="22" t="s">
        <v>367</v>
      </c>
      <c r="B131" s="23">
        <v>64</v>
      </c>
    </row>
    <row r="132" spans="1:2" ht="45.75" thickBot="1">
      <c r="A132" s="20" t="s">
        <v>368</v>
      </c>
      <c r="B132" s="21">
        <v>64</v>
      </c>
    </row>
    <row r="133" spans="1:2" ht="15.75" thickBot="1">
      <c r="A133" s="22" t="s">
        <v>369</v>
      </c>
      <c r="B133" s="23">
        <v>64</v>
      </c>
    </row>
    <row r="134" spans="1:2" ht="15.75" thickBot="1">
      <c r="A134" s="20" t="s">
        <v>370</v>
      </c>
      <c r="B134" s="21">
        <v>64</v>
      </c>
    </row>
    <row r="135" spans="1:2" ht="15.75" thickBot="1">
      <c r="A135" s="22" t="s">
        <v>371</v>
      </c>
      <c r="B135" s="23">
        <v>64</v>
      </c>
    </row>
    <row r="136" spans="1:2" ht="15.75" thickBot="1">
      <c r="A136" s="20" t="s">
        <v>372</v>
      </c>
      <c r="B136" s="21">
        <v>64</v>
      </c>
    </row>
    <row r="137" spans="1:2" ht="15.75" thickBot="1">
      <c r="A137" s="22" t="s">
        <v>373</v>
      </c>
      <c r="B137" s="23">
        <v>65536</v>
      </c>
    </row>
    <row r="138" spans="1:2" ht="15.75" thickBot="1">
      <c r="A138" s="20" t="s">
        <v>374</v>
      </c>
      <c r="B138" s="21">
        <v>65536</v>
      </c>
    </row>
    <row r="139" spans="1:2" ht="15.75" thickBot="1">
      <c r="A139" s="22" t="s">
        <v>375</v>
      </c>
      <c r="B139" s="23">
        <v>65536</v>
      </c>
    </row>
    <row r="140" spans="1:2" ht="15.75" thickBot="1">
      <c r="A140" s="20" t="s">
        <v>376</v>
      </c>
      <c r="B140" s="21">
        <v>65536</v>
      </c>
    </row>
    <row r="141" spans="1:2" ht="15.75" thickBot="1">
      <c r="A141" s="22" t="s">
        <v>377</v>
      </c>
      <c r="B141" s="23">
        <v>65536</v>
      </c>
    </row>
    <row r="142" spans="1:2" ht="15.75" thickBot="1">
      <c r="A142" s="20" t="s">
        <v>378</v>
      </c>
      <c r="B142" s="21">
        <v>65536</v>
      </c>
    </row>
    <row r="143" spans="1:2" ht="15.75" thickBot="1">
      <c r="A143" s="22" t="s">
        <v>379</v>
      </c>
      <c r="B143" s="23">
        <v>65536</v>
      </c>
    </row>
    <row r="144" spans="1:2" ht="15.75" thickBot="1">
      <c r="A144" s="20" t="s">
        <v>380</v>
      </c>
      <c r="B144" s="21">
        <v>65536</v>
      </c>
    </row>
    <row r="145" spans="1:2" ht="15.75" thickBot="1">
      <c r="A145" s="22" t="s">
        <v>381</v>
      </c>
      <c r="B145" s="23">
        <v>65536</v>
      </c>
    </row>
    <row r="146" spans="1:2" ht="15.75" thickBot="1">
      <c r="A146" s="20" t="s">
        <v>382</v>
      </c>
      <c r="B146" s="21">
        <v>65536</v>
      </c>
    </row>
    <row r="147" spans="1:2" ht="30.75" thickBot="1">
      <c r="A147" s="22" t="s">
        <v>383</v>
      </c>
      <c r="B147" s="23">
        <v>65536</v>
      </c>
    </row>
    <row r="148" spans="1:2" ht="30.75" thickBot="1">
      <c r="A148" s="20" t="s">
        <v>384</v>
      </c>
      <c r="B148" s="21">
        <v>65536</v>
      </c>
    </row>
    <row r="149" spans="1:2" ht="15.75" thickBot="1">
      <c r="A149" s="22" t="s">
        <v>385</v>
      </c>
      <c r="B149" s="23">
        <v>65536</v>
      </c>
    </row>
    <row r="150" spans="1:2" ht="15.75" thickBot="1">
      <c r="A150" s="20" t="s">
        <v>386</v>
      </c>
      <c r="B150" s="21">
        <v>65536</v>
      </c>
    </row>
    <row r="151" spans="1:2" ht="15.75" thickBot="1">
      <c r="A151" s="22" t="s">
        <v>387</v>
      </c>
      <c r="B151" s="23">
        <v>65536</v>
      </c>
    </row>
    <row r="152" spans="1:2" ht="15.75" thickBot="1">
      <c r="A152" s="20" t="s">
        <v>388</v>
      </c>
      <c r="B152" s="21">
        <v>65536</v>
      </c>
    </row>
    <row r="153" spans="1:2" ht="15.75" thickBot="1">
      <c r="A153" s="22" t="s">
        <v>389</v>
      </c>
      <c r="B153" s="23">
        <v>65536</v>
      </c>
    </row>
    <row r="154" spans="1:2" ht="15.75" thickBot="1">
      <c r="A154" s="20" t="s">
        <v>390</v>
      </c>
      <c r="B154" s="21">
        <v>64</v>
      </c>
    </row>
    <row r="155" spans="1:2" ht="15.75" thickBot="1">
      <c r="A155" s="22" t="s">
        <v>391</v>
      </c>
      <c r="B155" s="23">
        <v>64</v>
      </c>
    </row>
    <row r="156" spans="1:2" ht="30.75" thickBot="1">
      <c r="A156" s="20" t="s">
        <v>392</v>
      </c>
      <c r="B156" s="21">
        <v>64</v>
      </c>
    </row>
    <row r="157" spans="1:2" ht="15.75" thickBot="1">
      <c r="A157" s="22" t="s">
        <v>393</v>
      </c>
      <c r="B157" s="23">
        <v>64</v>
      </c>
    </row>
    <row r="158" spans="1:2" ht="15.75" thickBot="1">
      <c r="A158" s="20" t="s">
        <v>394</v>
      </c>
      <c r="B158" s="21">
        <v>64</v>
      </c>
    </row>
    <row r="159" spans="1:2" ht="15.75" thickBot="1">
      <c r="A159" s="22" t="s">
        <v>395</v>
      </c>
      <c r="B159" s="23">
        <v>64</v>
      </c>
    </row>
    <row r="160" spans="1:2" ht="15.75" thickBot="1">
      <c r="A160" s="20" t="s">
        <v>396</v>
      </c>
      <c r="B160" s="21">
        <v>64</v>
      </c>
    </row>
    <row r="161" spans="1:2" ht="15.75" thickBot="1">
      <c r="A161" s="22" t="s">
        <v>397</v>
      </c>
      <c r="B161" s="23">
        <v>65536</v>
      </c>
    </row>
    <row r="162" spans="1:2" ht="15.75" thickBot="1">
      <c r="A162" s="20" t="s">
        <v>398</v>
      </c>
      <c r="B162" s="21">
        <v>65536</v>
      </c>
    </row>
    <row r="163" spans="1:2" ht="15.75" thickBot="1">
      <c r="A163" s="24" t="s">
        <v>399</v>
      </c>
      <c r="B163" s="25">
        <v>64</v>
      </c>
    </row>
  </sheetData>
  <hyperlinks>
    <hyperlink ref="A2" r:id="rId1" display="https://developer.garmin.com/connect-iq/device-reference/approachs50/" xr:uid="{00000000-0004-0000-0100-000000000000}"/>
    <hyperlink ref="A3" r:id="rId2" display="https://developer.garmin.com/connect-iq/device-reference/approachs60/" xr:uid="{00000000-0004-0000-0100-000001000000}"/>
    <hyperlink ref="A4" r:id="rId3" display="https://developer.garmin.com/connect-iq/device-reference/approachs62/" xr:uid="{00000000-0004-0000-0100-000002000000}"/>
    <hyperlink ref="A5" r:id="rId4" display="https://developer.garmin.com/connect-iq/device-reference/approachs7042mm/" xr:uid="{00000000-0004-0000-0100-000003000000}"/>
    <hyperlink ref="A6" r:id="rId5" display="https://developer.garmin.com/connect-iq/device-reference/approachs7047mm/" xr:uid="{00000000-0004-0000-0100-000004000000}"/>
    <hyperlink ref="A7" r:id="rId6" display="https://developer.garmin.com/connect-iq/device-reference/d2air/" xr:uid="{00000000-0004-0000-0100-000005000000}"/>
    <hyperlink ref="A8" r:id="rId7" display="https://developer.garmin.com/connect-iq/device-reference/d2airx10/" xr:uid="{00000000-0004-0000-0100-000006000000}"/>
    <hyperlink ref="A9" r:id="rId8" display="https://developer.garmin.com/connect-iq/device-reference/d2bravo/" xr:uid="{00000000-0004-0000-0100-000007000000}"/>
    <hyperlink ref="A10" r:id="rId9" display="https://developer.garmin.com/connect-iq/device-reference/d2bravo-titanium/" xr:uid="{00000000-0004-0000-0100-000008000000}"/>
    <hyperlink ref="A11" r:id="rId10" display="https://developer.garmin.com/connect-iq/device-reference/d2charlie/" xr:uid="{00000000-0004-0000-0100-000009000000}"/>
    <hyperlink ref="A12" r:id="rId11" display="https://developer.garmin.com/connect-iq/device-reference/d2delta/" xr:uid="{00000000-0004-0000-0100-00000A000000}"/>
    <hyperlink ref="A13" r:id="rId12" display="https://developer.garmin.com/connect-iq/device-reference/d2deltapx/" xr:uid="{00000000-0004-0000-0100-00000B000000}"/>
    <hyperlink ref="A14" r:id="rId13" display="https://developer.garmin.com/connect-iq/device-reference/d2deltas/" xr:uid="{00000000-0004-0000-0100-00000C000000}"/>
    <hyperlink ref="A15" r:id="rId14" display="https://developer.garmin.com/connect-iq/device-reference/d2mach1/" xr:uid="{00000000-0004-0000-0100-00000D000000}"/>
    <hyperlink ref="A16" r:id="rId15" display="https://developer.garmin.com/connect-iq/device-reference/d2mach2/" xr:uid="{00000000-0004-0000-0100-00000E000000}"/>
    <hyperlink ref="A17" r:id="rId16" display="https://developer.garmin.com/connect-iq/device-reference/descentg1/" xr:uid="{00000000-0004-0000-0100-00000F000000}"/>
    <hyperlink ref="A18" r:id="rId17" display="https://developer.garmin.com/connect-iq/device-reference/descentg2/" xr:uid="{00000000-0004-0000-0100-000010000000}"/>
    <hyperlink ref="A19" r:id="rId18" display="https://developer.garmin.com/connect-iq/device-reference/descentmk1/" xr:uid="{00000000-0004-0000-0100-000011000000}"/>
    <hyperlink ref="A20" r:id="rId19" display="https://developer.garmin.com/connect-iq/device-reference/descentmk2/" xr:uid="{00000000-0004-0000-0100-000012000000}"/>
    <hyperlink ref="A21" r:id="rId20" display="https://developer.garmin.com/connect-iq/device-reference/descentmk2s/" xr:uid="{00000000-0004-0000-0100-000013000000}"/>
    <hyperlink ref="A22" r:id="rId21" display="https://developer.garmin.com/connect-iq/device-reference/descentmk343mm/" xr:uid="{00000000-0004-0000-0100-000014000000}"/>
    <hyperlink ref="A23" r:id="rId22" display="https://developer.garmin.com/connect-iq/device-reference/descentmk351mm/" xr:uid="{00000000-0004-0000-0100-000015000000}"/>
    <hyperlink ref="A24" r:id="rId23" display="https://developer.garmin.com/connect-iq/device-reference/edge1030/" xr:uid="{00000000-0004-0000-0100-000016000000}"/>
    <hyperlink ref="A25" r:id="rId24" display="https://developer.garmin.com/connect-iq/device-reference/edge1030bontrager/" xr:uid="{00000000-0004-0000-0100-000017000000}"/>
    <hyperlink ref="A26" r:id="rId25" display="https://developer.garmin.com/connect-iq/device-reference/edge1030plus/" xr:uid="{00000000-0004-0000-0100-000018000000}"/>
    <hyperlink ref="A27" r:id="rId26" display="https://developer.garmin.com/connect-iq/device-reference/edge1040/" xr:uid="{00000000-0004-0000-0100-000019000000}"/>
    <hyperlink ref="A28" r:id="rId27" display="https://developer.garmin.com/connect-iq/device-reference/edge1050/" xr:uid="{00000000-0004-0000-0100-00001A000000}"/>
    <hyperlink ref="A29" r:id="rId28" display="https://developer.garmin.com/connect-iq/device-reference/edge130/" xr:uid="{00000000-0004-0000-0100-00001B000000}"/>
    <hyperlink ref="A30" r:id="rId29" display="https://developer.garmin.com/connect-iq/device-reference/edge130plus/" xr:uid="{00000000-0004-0000-0100-00001C000000}"/>
    <hyperlink ref="A31" r:id="rId30" display="https://developer.garmin.com/connect-iq/device-reference/edge520plus/" xr:uid="{00000000-0004-0000-0100-00001D000000}"/>
    <hyperlink ref="A32" r:id="rId31" display="https://developer.garmin.com/connect-iq/device-reference/edge530/" xr:uid="{00000000-0004-0000-0100-00001E000000}"/>
    <hyperlink ref="A33" r:id="rId32" display="https://developer.garmin.com/connect-iq/device-reference/edge540/" xr:uid="{00000000-0004-0000-0100-00001F000000}"/>
    <hyperlink ref="A34" r:id="rId33" display="https://developer.garmin.com/connect-iq/device-reference/edge550/" xr:uid="{00000000-0004-0000-0100-000020000000}"/>
    <hyperlink ref="A35" r:id="rId34" display="https://developer.garmin.com/connect-iq/device-reference/edge820/" xr:uid="{00000000-0004-0000-0100-000021000000}"/>
    <hyperlink ref="A36" r:id="rId35" display="https://developer.garmin.com/connect-iq/device-reference/edge830/" xr:uid="{00000000-0004-0000-0100-000022000000}"/>
    <hyperlink ref="A37" r:id="rId36" display="https://developer.garmin.com/connect-iq/device-reference/edge840/" xr:uid="{00000000-0004-0000-0100-000023000000}"/>
    <hyperlink ref="A38" r:id="rId37" display="https://developer.garmin.com/connect-iq/device-reference/edge850/" xr:uid="{00000000-0004-0000-0100-000024000000}"/>
    <hyperlink ref="A39" r:id="rId38" display="https://developer.garmin.com/connect-iq/device-reference/edge-1000/" xr:uid="{00000000-0004-0000-0100-000025000000}"/>
    <hyperlink ref="A40" r:id="rId39" display="https://developer.garmin.com/connect-iq/device-reference/edge-520/" xr:uid="{00000000-0004-0000-0100-000026000000}"/>
    <hyperlink ref="A41" r:id="rId40" display="https://developer.garmin.com/connect-iq/device-reference/edgeexplore/" xr:uid="{00000000-0004-0000-0100-000027000000}"/>
    <hyperlink ref="A42" r:id="rId41" display="https://developer.garmin.com/connect-iq/device-reference/edgeexplore2/" xr:uid="{00000000-0004-0000-0100-000028000000}"/>
    <hyperlink ref="A43" r:id="rId42" display="https://developer.garmin.com/connect-iq/device-reference/edgemtb/" xr:uid="{00000000-0004-0000-0100-000029000000}"/>
    <hyperlink ref="A44" r:id="rId43" display="https://developer.garmin.com/connect-iq/device-reference/enduro/" xr:uid="{00000000-0004-0000-0100-00002A000000}"/>
    <hyperlink ref="A45" r:id="rId44" display="https://developer.garmin.com/connect-iq/device-reference/enduro3/" xr:uid="{00000000-0004-0000-0100-00002B000000}"/>
    <hyperlink ref="A46" r:id="rId45" display="https://developer.garmin.com/connect-iq/device-reference/epix/" xr:uid="{00000000-0004-0000-0100-00002C000000}"/>
    <hyperlink ref="A47" r:id="rId46" display="https://developer.garmin.com/connect-iq/device-reference/epix2/" xr:uid="{00000000-0004-0000-0100-00002D000000}"/>
    <hyperlink ref="A48" r:id="rId47" display="https://developer.garmin.com/connect-iq/device-reference/epix2pro42mm/" xr:uid="{00000000-0004-0000-0100-00002E000000}"/>
    <hyperlink ref="A49" r:id="rId48" display="https://developer.garmin.com/connect-iq/device-reference/epix2pro47mm/" xr:uid="{00000000-0004-0000-0100-00002F000000}"/>
    <hyperlink ref="A50" r:id="rId49" display="https://developer.garmin.com/connect-iq/device-reference/epix2pro51mm/" xr:uid="{00000000-0004-0000-0100-000030000000}"/>
    <hyperlink ref="A51" r:id="rId50" display="https://developer.garmin.com/connect-iq/device-reference/etrextouch/" xr:uid="{00000000-0004-0000-0100-000031000000}"/>
    <hyperlink ref="A52" r:id="rId51" display="https://developer.garmin.com/connect-iq/device-reference/fenix3/" xr:uid="{00000000-0004-0000-0100-000032000000}"/>
    <hyperlink ref="A53" r:id="rId52" display="https://developer.garmin.com/connect-iq/device-reference/fenix3-hr/" xr:uid="{00000000-0004-0000-0100-000033000000}"/>
    <hyperlink ref="A54" r:id="rId53" display="https://developer.garmin.com/connect-iq/device-reference/fenix5/" xr:uid="{00000000-0004-0000-0100-000034000000}"/>
    <hyperlink ref="A55" r:id="rId54" display="https://developer.garmin.com/connect-iq/device-reference/fenix5plus/" xr:uid="{00000000-0004-0000-0100-000035000000}"/>
    <hyperlink ref="A56" r:id="rId55" display="https://developer.garmin.com/connect-iq/device-reference/fenix5s/" xr:uid="{00000000-0004-0000-0100-000036000000}"/>
    <hyperlink ref="A57" r:id="rId56" display="https://developer.garmin.com/connect-iq/device-reference/fenix5splus/" xr:uid="{00000000-0004-0000-0100-000037000000}"/>
    <hyperlink ref="A58" r:id="rId57" display="https://developer.garmin.com/connect-iq/device-reference/fenix5x/" xr:uid="{00000000-0004-0000-0100-000038000000}"/>
    <hyperlink ref="A59" r:id="rId58" display="https://developer.garmin.com/connect-iq/device-reference/fenix5xplus/" xr:uid="{00000000-0004-0000-0100-000039000000}"/>
    <hyperlink ref="A60" r:id="rId59" display="https://developer.garmin.com/connect-iq/device-reference/fenix6/" xr:uid="{00000000-0004-0000-0100-00003A000000}"/>
    <hyperlink ref="A61" r:id="rId60" display="https://developer.garmin.com/connect-iq/device-reference/fenix6pro/" xr:uid="{00000000-0004-0000-0100-00003B000000}"/>
    <hyperlink ref="A62" r:id="rId61" display="https://developer.garmin.com/connect-iq/device-reference/fenix6s/" xr:uid="{00000000-0004-0000-0100-00003C000000}"/>
    <hyperlink ref="A63" r:id="rId62" display="https://developer.garmin.com/connect-iq/device-reference/fenix6spro/" xr:uid="{00000000-0004-0000-0100-00003D000000}"/>
    <hyperlink ref="A64" r:id="rId63" display="https://developer.garmin.com/connect-iq/device-reference/fenix6xpro/" xr:uid="{00000000-0004-0000-0100-00003E000000}"/>
    <hyperlink ref="A65" r:id="rId64" display="https://developer.garmin.com/connect-iq/device-reference/fenix7/" xr:uid="{00000000-0004-0000-0100-00003F000000}"/>
    <hyperlink ref="A66" r:id="rId65" display="https://developer.garmin.com/connect-iq/device-reference/fenix7pro/" xr:uid="{00000000-0004-0000-0100-000040000000}"/>
    <hyperlink ref="A67" r:id="rId66" display="https://developer.garmin.com/connect-iq/device-reference/fenix7pronowifi/" xr:uid="{00000000-0004-0000-0100-000041000000}"/>
    <hyperlink ref="A68" r:id="rId67" display="https://developer.garmin.com/connect-iq/device-reference/fenix7s/" xr:uid="{00000000-0004-0000-0100-000042000000}"/>
    <hyperlink ref="A69" r:id="rId68" display="https://developer.garmin.com/connect-iq/device-reference/fenix7spro/" xr:uid="{00000000-0004-0000-0100-000043000000}"/>
    <hyperlink ref="A70" r:id="rId69" display="https://developer.garmin.com/connect-iq/device-reference/fenix7x/" xr:uid="{00000000-0004-0000-0100-000044000000}"/>
    <hyperlink ref="A71" r:id="rId70" display="https://developer.garmin.com/connect-iq/device-reference/fenix7xpro/" xr:uid="{00000000-0004-0000-0100-000045000000}"/>
    <hyperlink ref="A72" r:id="rId71" display="https://developer.garmin.com/connect-iq/device-reference/fenix7xpronowifi/" xr:uid="{00000000-0004-0000-0100-000046000000}"/>
    <hyperlink ref="A73" r:id="rId72" display="https://developer.garmin.com/connect-iq/device-reference/fenix843mm/" xr:uid="{00000000-0004-0000-0100-000047000000}"/>
    <hyperlink ref="A74" r:id="rId73" display="https://developer.garmin.com/connect-iq/device-reference/fenix847mm/" xr:uid="{00000000-0004-0000-0100-000048000000}"/>
    <hyperlink ref="A75" r:id="rId74" display="https://developer.garmin.com/connect-iq/device-reference/fenix8pro47mm/" xr:uid="{00000000-0004-0000-0100-000049000000}"/>
    <hyperlink ref="A76" r:id="rId75" display="https://developer.garmin.com/connect-iq/device-reference/fenix8solar47mm/" xr:uid="{00000000-0004-0000-0100-00004A000000}"/>
    <hyperlink ref="A77" r:id="rId76" display="https://developer.garmin.com/connect-iq/device-reference/fenix8solar51mm/" xr:uid="{00000000-0004-0000-0100-00004B000000}"/>
    <hyperlink ref="A78" r:id="rId77" display="https://developer.garmin.com/connect-iq/device-reference/fenixchronos/" xr:uid="{00000000-0004-0000-0100-00004C000000}"/>
    <hyperlink ref="A79" r:id="rId78" display="https://developer.garmin.com/connect-iq/device-reference/fenixe/" xr:uid="{00000000-0004-0000-0100-00004D000000}"/>
    <hyperlink ref="A80" r:id="rId79" display="https://developer.garmin.com/connect-iq/device-reference/fr165/" xr:uid="{00000000-0004-0000-0100-00004E000000}"/>
    <hyperlink ref="A81" r:id="rId80" display="https://developer.garmin.com/connect-iq/device-reference/fr165m/" xr:uid="{00000000-0004-0000-0100-00004F000000}"/>
    <hyperlink ref="A82" r:id="rId81" display="https://developer.garmin.com/connect-iq/device-reference/fr230/" xr:uid="{00000000-0004-0000-0100-000050000000}"/>
    <hyperlink ref="A83" r:id="rId82" display="https://developer.garmin.com/connect-iq/device-reference/fr235/" xr:uid="{00000000-0004-0000-0100-000051000000}"/>
    <hyperlink ref="A84" r:id="rId83" display="https://developer.garmin.com/connect-iq/device-reference/fr245/" xr:uid="{00000000-0004-0000-0100-000052000000}"/>
    <hyperlink ref="A85" r:id="rId84" display="https://developer.garmin.com/connect-iq/device-reference/fr245m/" xr:uid="{00000000-0004-0000-0100-000053000000}"/>
    <hyperlink ref="A86" r:id="rId85" display="https://developer.garmin.com/connect-iq/device-reference/fr255/" xr:uid="{00000000-0004-0000-0100-000054000000}"/>
    <hyperlink ref="A87" r:id="rId86" display="https://developer.garmin.com/connect-iq/device-reference/fr255m/" xr:uid="{00000000-0004-0000-0100-000055000000}"/>
    <hyperlink ref="A88" r:id="rId87" display="https://developer.garmin.com/connect-iq/device-reference/fr255s/" xr:uid="{00000000-0004-0000-0100-000056000000}"/>
    <hyperlink ref="A89" r:id="rId88" display="https://developer.garmin.com/connect-iq/device-reference/fr255sm/" xr:uid="{00000000-0004-0000-0100-000057000000}"/>
    <hyperlink ref="A90" r:id="rId89" display="https://developer.garmin.com/connect-iq/device-reference/fr265/" xr:uid="{00000000-0004-0000-0100-000058000000}"/>
    <hyperlink ref="A91" r:id="rId90" display="https://developer.garmin.com/connect-iq/device-reference/fr265s/" xr:uid="{00000000-0004-0000-0100-000059000000}"/>
    <hyperlink ref="A92" r:id="rId91" display="https://developer.garmin.com/connect-iq/device-reference/fr45/" xr:uid="{00000000-0004-0000-0100-00005A000000}"/>
    <hyperlink ref="A93" r:id="rId92" display="https://developer.garmin.com/connect-iq/device-reference/fr55/" xr:uid="{00000000-0004-0000-0100-00005B000000}"/>
    <hyperlink ref="A94" r:id="rId93" display="https://developer.garmin.com/connect-iq/device-reference/fr57042mm/" xr:uid="{00000000-0004-0000-0100-00005C000000}"/>
    <hyperlink ref="A95" r:id="rId94" display="https://developer.garmin.com/connect-iq/device-reference/fr57047mm/" xr:uid="{00000000-0004-0000-0100-00005D000000}"/>
    <hyperlink ref="A96" r:id="rId95" display="https://developer.garmin.com/connect-iq/device-reference/fr630/" xr:uid="{00000000-0004-0000-0100-00005E000000}"/>
    <hyperlink ref="A97" r:id="rId96" display="https://developer.garmin.com/connect-iq/device-reference/fr645/" xr:uid="{00000000-0004-0000-0100-00005F000000}"/>
    <hyperlink ref="A98" r:id="rId97" display="https://developer.garmin.com/connect-iq/device-reference/fr645m/" xr:uid="{00000000-0004-0000-0100-000060000000}"/>
    <hyperlink ref="A99" r:id="rId98" display="https://developer.garmin.com/connect-iq/device-reference/fr735xt/" xr:uid="{00000000-0004-0000-0100-000061000000}"/>
    <hyperlink ref="A100" r:id="rId99" display="https://developer.garmin.com/connect-iq/device-reference/fr745/" xr:uid="{00000000-0004-0000-0100-000062000000}"/>
    <hyperlink ref="A101" r:id="rId100" display="https://developer.garmin.com/connect-iq/device-reference/fr920xt/" xr:uid="{00000000-0004-0000-0100-000063000000}"/>
    <hyperlink ref="A102" r:id="rId101" display="https://developer.garmin.com/connect-iq/device-reference/fr935/" xr:uid="{00000000-0004-0000-0100-000064000000}"/>
    <hyperlink ref="A103" r:id="rId102" display="https://developer.garmin.com/connect-iq/device-reference/fr945/" xr:uid="{00000000-0004-0000-0100-000065000000}"/>
    <hyperlink ref="A104" r:id="rId103" display="https://developer.garmin.com/connect-iq/device-reference/fr945lte/" xr:uid="{00000000-0004-0000-0100-000066000000}"/>
    <hyperlink ref="A105" r:id="rId104" display="https://developer.garmin.com/connect-iq/device-reference/fr955/" xr:uid="{00000000-0004-0000-0100-000067000000}"/>
    <hyperlink ref="A106" r:id="rId105" display="https://developer.garmin.com/connect-iq/device-reference/fr965/" xr:uid="{00000000-0004-0000-0100-000068000000}"/>
    <hyperlink ref="A107" r:id="rId106" display="https://developer.garmin.com/connect-iq/device-reference/fr970/" xr:uid="{00000000-0004-0000-0100-000069000000}"/>
    <hyperlink ref="A108" r:id="rId107" display="https://developer.garmin.com/connect-iq/device-reference/garminswim2/" xr:uid="{00000000-0004-0000-0100-00006A000000}"/>
    <hyperlink ref="A109" r:id="rId108" display="https://developer.garmin.com/connect-iq/device-reference/gpsmap66/" xr:uid="{00000000-0004-0000-0100-00006B000000}"/>
    <hyperlink ref="A110" r:id="rId109" display="https://developer.garmin.com/connect-iq/device-reference/gpsmap67/" xr:uid="{00000000-0004-0000-0100-00006C000000}"/>
    <hyperlink ref="A111" r:id="rId110" display="https://developer.garmin.com/connect-iq/device-reference/gpsmap86/" xr:uid="{00000000-0004-0000-0100-00006D000000}"/>
    <hyperlink ref="A112" r:id="rId111" display="https://developer.garmin.com/connect-iq/device-reference/gpsmaph1/" xr:uid="{00000000-0004-0000-0100-00006E000000}"/>
    <hyperlink ref="A113" r:id="rId112" display="https://developer.garmin.com/connect-iq/device-reference/instinct2/" xr:uid="{00000000-0004-0000-0100-00006F000000}"/>
    <hyperlink ref="A114" r:id="rId113" display="https://developer.garmin.com/connect-iq/device-reference/instinct2s/" xr:uid="{00000000-0004-0000-0100-000070000000}"/>
    <hyperlink ref="A115" r:id="rId114" display="https://developer.garmin.com/connect-iq/device-reference/instinct2x/" xr:uid="{00000000-0004-0000-0100-000071000000}"/>
    <hyperlink ref="A116" r:id="rId115" display="https://developer.garmin.com/connect-iq/device-reference/instinct3amoled45mm/" xr:uid="{00000000-0004-0000-0100-000072000000}"/>
    <hyperlink ref="A117" r:id="rId116" display="https://developer.garmin.com/connect-iq/device-reference/instinct3amoled50mm/" xr:uid="{00000000-0004-0000-0100-000073000000}"/>
    <hyperlink ref="A118" r:id="rId117" display="https://developer.garmin.com/connect-iq/device-reference/instinct3solar45mm/" xr:uid="{00000000-0004-0000-0100-000074000000}"/>
    <hyperlink ref="A119" r:id="rId118" display="https://developer.garmin.com/connect-iq/device-reference/instinctcrossover/" xr:uid="{00000000-0004-0000-0100-000075000000}"/>
    <hyperlink ref="A120" r:id="rId119" display="https://developer.garmin.com/connect-iq/device-reference/instinctcrossoveramoled/" xr:uid="{00000000-0004-0000-0100-000076000000}"/>
    <hyperlink ref="A121" r:id="rId120" display="https://developer.garmin.com/connect-iq/device-reference/instincte40mm/" xr:uid="{00000000-0004-0000-0100-000077000000}"/>
    <hyperlink ref="A122" r:id="rId121" display="https://developer.garmin.com/connect-iq/device-reference/instincte45mm/" xr:uid="{00000000-0004-0000-0100-000078000000}"/>
    <hyperlink ref="A123" r:id="rId122" display="https://developer.garmin.com/connect-iq/device-reference/legacyherocaptainmarvel/" xr:uid="{00000000-0004-0000-0100-000079000000}"/>
    <hyperlink ref="A124" r:id="rId123" display="https://developer.garmin.com/connect-iq/device-reference/legacyherofirstavenger/" xr:uid="{00000000-0004-0000-0100-00007A000000}"/>
    <hyperlink ref="A125" r:id="rId124" display="https://developer.garmin.com/connect-iq/device-reference/legacysagadarthvader/" xr:uid="{00000000-0004-0000-0100-00007B000000}"/>
    <hyperlink ref="A126" r:id="rId125" display="https://developer.garmin.com/connect-iq/device-reference/legacysagarey/" xr:uid="{00000000-0004-0000-0100-00007C000000}"/>
    <hyperlink ref="A127" r:id="rId126" display="https://developer.garmin.com/connect-iq/device-reference/marq2/" xr:uid="{00000000-0004-0000-0100-00007D000000}"/>
    <hyperlink ref="A128" r:id="rId127" display="https://developer.garmin.com/connect-iq/device-reference/marq2aviator/" xr:uid="{00000000-0004-0000-0100-00007E000000}"/>
    <hyperlink ref="A129" r:id="rId128" display="https://developer.garmin.com/connect-iq/device-reference/marqadventurer/" xr:uid="{00000000-0004-0000-0100-00007F000000}"/>
    <hyperlink ref="A130" r:id="rId129" display="https://developer.garmin.com/connect-iq/device-reference/marqathlete/" xr:uid="{00000000-0004-0000-0100-000080000000}"/>
    <hyperlink ref="A131" r:id="rId130" display="https://developer.garmin.com/connect-iq/device-reference/marqaviator/" xr:uid="{00000000-0004-0000-0100-000081000000}"/>
    <hyperlink ref="A132" r:id="rId131" display="https://developer.garmin.com/connect-iq/device-reference/marqcaptain/" xr:uid="{00000000-0004-0000-0100-000082000000}"/>
    <hyperlink ref="A133" r:id="rId132" display="https://developer.garmin.com/connect-iq/device-reference/marqcommander/" xr:uid="{00000000-0004-0000-0100-000083000000}"/>
    <hyperlink ref="A134" r:id="rId133" display="https://developer.garmin.com/connect-iq/device-reference/marqdriver/" xr:uid="{00000000-0004-0000-0100-000084000000}"/>
    <hyperlink ref="A135" r:id="rId134" display="https://developer.garmin.com/connect-iq/device-reference/marqexpedition/" xr:uid="{00000000-0004-0000-0100-000085000000}"/>
    <hyperlink ref="A136" r:id="rId135" display="https://developer.garmin.com/connect-iq/device-reference/marqgolfer/" xr:uid="{00000000-0004-0000-0100-000086000000}"/>
    <hyperlink ref="A137" r:id="rId136" display="https://developer.garmin.com/connect-iq/device-reference/montana7xx/" xr:uid="{00000000-0004-0000-0100-000087000000}"/>
    <hyperlink ref="A138" r:id="rId137" display="https://developer.garmin.com/connect-iq/device-reference/oregon7xx/" xr:uid="{00000000-0004-0000-0100-000088000000}"/>
    <hyperlink ref="A139" r:id="rId138" display="https://developer.garmin.com/connect-iq/device-reference/rino7xx/" xr:uid="{00000000-0004-0000-0100-000089000000}"/>
    <hyperlink ref="A140" r:id="rId139" display="https://developer.garmin.com/connect-iq/device-reference/venu/" xr:uid="{00000000-0004-0000-0100-00008A000000}"/>
    <hyperlink ref="A141" r:id="rId140" display="https://developer.garmin.com/connect-iq/device-reference/venu2/" xr:uid="{00000000-0004-0000-0100-00008B000000}"/>
    <hyperlink ref="A142" r:id="rId141" display="https://developer.garmin.com/connect-iq/device-reference/venu2plus/" xr:uid="{00000000-0004-0000-0100-00008C000000}"/>
    <hyperlink ref="A143" r:id="rId142" display="https://developer.garmin.com/connect-iq/device-reference/venu2s/" xr:uid="{00000000-0004-0000-0100-00008D000000}"/>
    <hyperlink ref="A144" r:id="rId143" display="https://developer.garmin.com/connect-iq/device-reference/venu3/" xr:uid="{00000000-0004-0000-0100-00008E000000}"/>
    <hyperlink ref="A145" r:id="rId144" display="https://developer.garmin.com/connect-iq/device-reference/venu3s/" xr:uid="{00000000-0004-0000-0100-00008F000000}"/>
    <hyperlink ref="A146" r:id="rId145" display="https://developer.garmin.com/connect-iq/device-reference/venu441mm/" xr:uid="{00000000-0004-0000-0100-000090000000}"/>
    <hyperlink ref="A147" r:id="rId146" display="https://developer.garmin.com/connect-iq/device-reference/venu445mm/" xr:uid="{00000000-0004-0000-0100-000091000000}"/>
    <hyperlink ref="A148" r:id="rId147" display="https://developer.garmin.com/connect-iq/device-reference/venud/" xr:uid="{00000000-0004-0000-0100-000092000000}"/>
    <hyperlink ref="A149" r:id="rId148" display="https://developer.garmin.com/connect-iq/device-reference/venusq/" xr:uid="{00000000-0004-0000-0100-000093000000}"/>
    <hyperlink ref="A150" r:id="rId149" display="https://developer.garmin.com/connect-iq/device-reference/venusq2/" xr:uid="{00000000-0004-0000-0100-000094000000}"/>
    <hyperlink ref="A151" r:id="rId150" display="https://developer.garmin.com/connect-iq/device-reference/venusq2m/" xr:uid="{00000000-0004-0000-0100-000095000000}"/>
    <hyperlink ref="A152" r:id="rId151" display="https://developer.garmin.com/connect-iq/device-reference/venusqm/" xr:uid="{00000000-0004-0000-0100-000096000000}"/>
    <hyperlink ref="A153" r:id="rId152" display="https://developer.garmin.com/connect-iq/device-reference/venux1/" xr:uid="{00000000-0004-0000-0100-000097000000}"/>
    <hyperlink ref="A154" r:id="rId153" display="https://developer.garmin.com/connect-iq/device-reference/vivoactive/" xr:uid="{00000000-0004-0000-0100-000098000000}"/>
    <hyperlink ref="A155" r:id="rId154" display="https://developer.garmin.com/connect-iq/device-reference/vivoactive3/" xr:uid="{00000000-0004-0000-0100-000099000000}"/>
    <hyperlink ref="A156" r:id="rId155" display="https://developer.garmin.com/connect-iq/device-reference/vivoactive3d/" xr:uid="{00000000-0004-0000-0100-00009A000000}"/>
    <hyperlink ref="A157" r:id="rId156" display="https://developer.garmin.com/connect-iq/device-reference/vivoactive3m/" xr:uid="{00000000-0004-0000-0100-00009B000000}"/>
    <hyperlink ref="A158" r:id="rId157" display="https://developer.garmin.com/connect-iq/device-reference/vivoactive3mlte/" xr:uid="{00000000-0004-0000-0100-00009C000000}"/>
    <hyperlink ref="A159" r:id="rId158" display="https://developer.garmin.com/connect-iq/device-reference/vivoactive4/" xr:uid="{00000000-0004-0000-0100-00009D000000}"/>
    <hyperlink ref="A160" r:id="rId159" display="https://developer.garmin.com/connect-iq/device-reference/vivoactive4s/" xr:uid="{00000000-0004-0000-0100-00009E000000}"/>
    <hyperlink ref="A161" r:id="rId160" display="https://developer.garmin.com/connect-iq/device-reference/vivoactive5/" xr:uid="{00000000-0004-0000-0100-00009F000000}"/>
    <hyperlink ref="A162" r:id="rId161" display="https://developer.garmin.com/connect-iq/device-reference/vivoactive6/" xr:uid="{00000000-0004-0000-0100-0000A0000000}"/>
    <hyperlink ref="A163" r:id="rId162" display="https://developer.garmin.com/connect-iq/device-reference/vivoactive-hr/" xr:uid="{00000000-0004-0000-0100-0000A1000000}"/>
  </hyperlinks>
  <pageMargins left="0.7" right="0.7" top="0.75" bottom="0.75" header="0.3" footer="0.3"/>
  <pageSetup paperSize="9" orientation="portrait" r:id="rId16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L8"/>
  <sheetViews>
    <sheetView tabSelected="1" workbookViewId="0">
      <selection activeCell="L17" sqref="L17"/>
    </sheetView>
  </sheetViews>
  <sheetFormatPr baseColWidth="10" defaultRowHeight="15"/>
  <cols>
    <col min="3" max="26" width="4.7109375" customWidth="1"/>
  </cols>
  <sheetData>
    <row r="1" spans="1:12">
      <c r="A1">
        <v>218</v>
      </c>
      <c r="B1" s="74">
        <f t="shared" ref="B1:B7" si="0">50/454*A1</f>
        <v>24.008810572687224</v>
      </c>
      <c r="L1" s="2" t="s">
        <v>964</v>
      </c>
    </row>
    <row r="2" spans="1:12">
      <c r="A2">
        <v>240</v>
      </c>
      <c r="B2" s="74">
        <f t="shared" si="0"/>
        <v>26.431718061674008</v>
      </c>
    </row>
    <row r="3" spans="1:12">
      <c r="A3">
        <v>260</v>
      </c>
      <c r="B3" s="74">
        <f t="shared" si="0"/>
        <v>28.634361233480174</v>
      </c>
    </row>
    <row r="4" spans="1:12">
      <c r="A4">
        <v>280</v>
      </c>
      <c r="B4" s="74">
        <f t="shared" si="0"/>
        <v>30.837004405286343</v>
      </c>
    </row>
    <row r="5" spans="1:12">
      <c r="A5">
        <v>360</v>
      </c>
      <c r="B5" s="74">
        <f t="shared" si="0"/>
        <v>39.647577092511014</v>
      </c>
    </row>
    <row r="6" spans="1:12">
      <c r="A6">
        <v>390</v>
      </c>
      <c r="B6" s="74">
        <f t="shared" si="0"/>
        <v>42.951541850220259</v>
      </c>
    </row>
    <row r="7" spans="1:12">
      <c r="A7">
        <v>416</v>
      </c>
      <c r="B7" s="74">
        <f t="shared" si="0"/>
        <v>45.814977973568283</v>
      </c>
    </row>
    <row r="8" spans="1:12">
      <c r="A8">
        <v>454</v>
      </c>
      <c r="B8" s="74">
        <f>50/454*A8</f>
        <v>50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U129"/>
  <sheetViews>
    <sheetView topLeftCell="A97" workbookViewId="0">
      <selection activeCell="A117" sqref="A117"/>
    </sheetView>
  </sheetViews>
  <sheetFormatPr baseColWidth="10" defaultRowHeight="15"/>
  <cols>
    <col min="1" max="1" width="22.5703125" customWidth="1"/>
    <col min="9" max="9" width="18.85546875" customWidth="1"/>
    <col min="10" max="10" width="5.28515625" customWidth="1"/>
  </cols>
  <sheetData>
    <row r="1" spans="1:21">
      <c r="A1" t="s">
        <v>167</v>
      </c>
    </row>
    <row r="3" spans="1:21">
      <c r="A3">
        <v>210</v>
      </c>
      <c r="B3">
        <f>A3-20</f>
        <v>190</v>
      </c>
    </row>
    <row r="4" spans="1:21">
      <c r="A4">
        <v>218</v>
      </c>
      <c r="B4">
        <f t="shared" ref="B4:B6" si="0">A4-20</f>
        <v>198</v>
      </c>
    </row>
    <row r="5" spans="1:21">
      <c r="A5">
        <v>226</v>
      </c>
      <c r="B5">
        <f t="shared" si="0"/>
        <v>206</v>
      </c>
    </row>
    <row r="6" spans="1:21">
      <c r="A6">
        <v>210</v>
      </c>
      <c r="B6">
        <f t="shared" si="0"/>
        <v>190</v>
      </c>
    </row>
    <row r="8" spans="1:21">
      <c r="A8">
        <f>416/2</f>
        <v>208</v>
      </c>
    </row>
    <row r="10" spans="1:21">
      <c r="H10" t="s">
        <v>1037</v>
      </c>
      <c r="I10" t="s">
        <v>1036</v>
      </c>
    </row>
    <row r="11" spans="1:21">
      <c r="A11" t="s">
        <v>985</v>
      </c>
      <c r="B11">
        <v>0</v>
      </c>
      <c r="C11" t="s">
        <v>1033</v>
      </c>
      <c r="D11" t="str">
        <f>"&lt;property id=""param"&amp;B11&amp;""" type="""&amp;C11&amp;"""&gt;"&amp;H11&amp;"&lt;/property&gt;"</f>
        <v>&lt;property id="param0" type="number"&gt;42&lt;/property&gt;</v>
      </c>
      <c r="H11">
        <v>42</v>
      </c>
      <c r="I11" t="s">
        <v>1027</v>
      </c>
      <c r="K11" t="str">
        <f>"    &lt;setting propertyKey=""@Properties.param"&amp;B11&amp;""" title=""@Strings."&amp;A11&amp;"""&gt;&lt;settingConfig type="""&amp;I11&amp;J11&amp;""" &gt;"</f>
        <v>    &lt;setting propertyKey="@Properties.param0" title="@Strings.BackGroundColor"&gt;&lt;settingConfig type="list" &gt;</v>
      </c>
      <c r="U11" t="str">
        <f>"&lt;string id="""&amp;A11&amp;"""&gt;"&amp;A11&amp;"&lt;/string&gt;"</f>
        <v>&lt;string id="BackGroundColor"&gt;BackGroundColor&lt;/string&gt;</v>
      </c>
    </row>
    <row r="12" spans="1:21">
      <c r="A12" t="s">
        <v>986</v>
      </c>
      <c r="B12">
        <v>1</v>
      </c>
      <c r="C12" t="s">
        <v>1033</v>
      </c>
      <c r="D12" t="str">
        <f t="shared" ref="D12:D28" si="1">"&lt;property id=""param"&amp;B12&amp;""" type="""&amp;C12&amp;"""&gt;"&amp;H12&amp;"&lt;/property&gt;"</f>
        <v>&lt;property id="param1" type="number"&gt;33&lt;/property&gt;</v>
      </c>
      <c r="H12">
        <v>33</v>
      </c>
      <c r="I12" t="s">
        <v>1027</v>
      </c>
      <c r="K12" t="str">
        <f t="shared" ref="K12:K28" si="2">"    &lt;setting propertyKey=""@Properties.param"&amp;B12&amp;""" title=""@Strings."&amp;A12&amp;"""&gt;&lt;settingConfig type="""&amp;I12&amp;J12&amp;""" &gt;"</f>
        <v>    &lt;setting propertyKey="@Properties.param1" title="@Strings.PresentColor"&gt;&lt;settingConfig type="list" &gt;</v>
      </c>
      <c r="U12" t="str">
        <f t="shared" ref="U12:U28" si="3">"&lt;string id="""&amp;A12&amp;"""&gt;"&amp;A12&amp;"&lt;/string&gt;"</f>
        <v>&lt;string id="PresentColor"&gt;PresentColor&lt;/string&gt;</v>
      </c>
    </row>
    <row r="13" spans="1:21">
      <c r="A13" t="s">
        <v>987</v>
      </c>
      <c r="B13">
        <v>2</v>
      </c>
      <c r="C13" t="s">
        <v>1033</v>
      </c>
      <c r="D13" t="str">
        <f t="shared" si="1"/>
        <v>&lt;property id="param2" type="number"&gt;14&lt;/property&gt;</v>
      </c>
      <c r="H13">
        <v>14</v>
      </c>
      <c r="I13" t="s">
        <v>1027</v>
      </c>
      <c r="K13" t="str">
        <f t="shared" si="2"/>
        <v>    &lt;setting propertyKey="@Properties.param2" title="@Strings.PastFutureColor"&gt;&lt;settingConfig type="list" &gt;</v>
      </c>
      <c r="U13" t="str">
        <f t="shared" si="3"/>
        <v>&lt;string id="PastFutureColor"&gt;PastFutureColor&lt;/string&gt;</v>
      </c>
    </row>
    <row r="14" spans="1:21">
      <c r="A14" t="s">
        <v>988</v>
      </c>
      <c r="B14">
        <v>3</v>
      </c>
      <c r="C14" t="s">
        <v>1033</v>
      </c>
      <c r="D14" t="str">
        <f t="shared" si="1"/>
        <v>&lt;property id="param3" type="number"&gt;1&lt;/property&gt;</v>
      </c>
      <c r="H14">
        <v>1</v>
      </c>
      <c r="I14" t="s">
        <v>1027</v>
      </c>
      <c r="K14" t="str">
        <f t="shared" si="2"/>
        <v>    &lt;setting propertyKey="@Properties.param3" title="@Strings.HourColor"&gt;&lt;settingConfig type="list" &gt;</v>
      </c>
      <c r="U14" t="str">
        <f t="shared" si="3"/>
        <v>&lt;string id="HourColor"&gt;HourColor&lt;/string&gt;</v>
      </c>
    </row>
    <row r="15" spans="1:21">
      <c r="A15" t="s">
        <v>989</v>
      </c>
      <c r="B15">
        <v>4</v>
      </c>
      <c r="C15" t="s">
        <v>1033</v>
      </c>
      <c r="D15" t="str">
        <f t="shared" si="1"/>
        <v>&lt;property id="param4" type="number"&gt;1&lt;/property&gt;</v>
      </c>
      <c r="H15">
        <v>1</v>
      </c>
      <c r="I15" t="s">
        <v>1027</v>
      </c>
      <c r="K15" t="str">
        <f t="shared" si="2"/>
        <v>    &lt;setting propertyKey="@Properties.param4" title="@Strings.MinutesColor"&gt;&lt;settingConfig type="list" &gt;</v>
      </c>
      <c r="U15" t="str">
        <f t="shared" si="3"/>
        <v>&lt;string id="MinutesColor"&gt;MinutesColor&lt;/string&gt;</v>
      </c>
    </row>
    <row r="16" spans="1:21">
      <c r="A16" t="s">
        <v>990</v>
      </c>
      <c r="B16">
        <v>5</v>
      </c>
      <c r="C16" t="s">
        <v>1028</v>
      </c>
      <c r="D16" t="str">
        <f t="shared" si="1"/>
        <v>&lt;property id="param5" type="boolean"&gt;true&lt;/property&gt;</v>
      </c>
      <c r="H16" t="s">
        <v>1038</v>
      </c>
      <c r="I16" t="s">
        <v>1028</v>
      </c>
      <c r="J16" t="s">
        <v>1035</v>
      </c>
      <c r="K16" t="str">
        <f t="shared" si="2"/>
        <v>    &lt;setting propertyKey="@Properties.param5" title="@Strings.is24h"&gt;&lt;settingConfig type="boolean/" &gt;</v>
      </c>
      <c r="U16" t="str">
        <f t="shared" si="3"/>
        <v>&lt;string id="is24h"&gt;is24h&lt;/string&gt;</v>
      </c>
    </row>
    <row r="17" spans="1:21">
      <c r="A17" t="s">
        <v>991</v>
      </c>
      <c r="B17">
        <v>6</v>
      </c>
      <c r="C17" t="s">
        <v>1033</v>
      </c>
      <c r="D17" t="str">
        <f t="shared" si="1"/>
        <v>&lt;property id="param6" type="number"&gt;0&lt;/property&gt;</v>
      </c>
      <c r="H17">
        <v>0</v>
      </c>
      <c r="I17" t="s">
        <v>1027</v>
      </c>
      <c r="K17" t="str">
        <f t="shared" si="2"/>
        <v>    &lt;setting propertyKey="@Properties.param6" title="@Strings.Field1"&gt;&lt;settingConfig type="list" &gt;</v>
      </c>
      <c r="U17" t="str">
        <f t="shared" si="3"/>
        <v>&lt;string id="Field1"&gt;Field1&lt;/string&gt;</v>
      </c>
    </row>
    <row r="18" spans="1:21">
      <c r="A18" t="s">
        <v>992</v>
      </c>
      <c r="B18">
        <v>7</v>
      </c>
      <c r="C18" t="s">
        <v>1033</v>
      </c>
      <c r="D18" t="str">
        <f t="shared" si="1"/>
        <v>&lt;property id="param7" type="number"&gt;1&lt;/property&gt;</v>
      </c>
      <c r="H18">
        <v>1</v>
      </c>
      <c r="I18" t="s">
        <v>1027</v>
      </c>
      <c r="K18" t="str">
        <f t="shared" si="2"/>
        <v>    &lt;setting propertyKey="@Properties.param7" title="@Strings.Field1Color"&gt;&lt;settingConfig type="list" &gt;</v>
      </c>
      <c r="U18" t="str">
        <f t="shared" si="3"/>
        <v>&lt;string id="Field1Color"&gt;Field1Color&lt;/string&gt;</v>
      </c>
    </row>
    <row r="19" spans="1:21">
      <c r="A19" t="s">
        <v>993</v>
      </c>
      <c r="B19">
        <v>8</v>
      </c>
      <c r="C19" t="s">
        <v>1033</v>
      </c>
      <c r="D19" t="str">
        <f t="shared" si="1"/>
        <v>&lt;property id="param8" type="number"&gt;0&lt;/property&gt;</v>
      </c>
      <c r="H19">
        <v>0</v>
      </c>
      <c r="I19" t="s">
        <v>1027</v>
      </c>
      <c r="K19" t="str">
        <f t="shared" si="2"/>
        <v>    &lt;setting propertyKey="@Properties.param8" title="@Strings.Field2"&gt;&lt;settingConfig type="list" &gt;</v>
      </c>
      <c r="U19" t="str">
        <f t="shared" si="3"/>
        <v>&lt;string id="Field2"&gt;Field2&lt;/string&gt;</v>
      </c>
    </row>
    <row r="20" spans="1:21">
      <c r="A20" t="s">
        <v>994</v>
      </c>
      <c r="B20">
        <v>9</v>
      </c>
      <c r="C20" t="s">
        <v>1033</v>
      </c>
      <c r="D20" t="str">
        <f t="shared" si="1"/>
        <v>&lt;property id="param9" type="number"&gt;1&lt;/property&gt;</v>
      </c>
      <c r="H20">
        <v>1</v>
      </c>
      <c r="I20" t="s">
        <v>1027</v>
      </c>
      <c r="K20" t="str">
        <f t="shared" si="2"/>
        <v>    &lt;setting propertyKey="@Properties.param9" title="@Strings.Field2Color"&gt;&lt;settingConfig type="list" &gt;</v>
      </c>
      <c r="U20" t="str">
        <f t="shared" si="3"/>
        <v>&lt;string id="Field2Color"&gt;Field2Color&lt;/string&gt;</v>
      </c>
    </row>
    <row r="21" spans="1:21">
      <c r="A21" t="s">
        <v>995</v>
      </c>
      <c r="B21">
        <v>10</v>
      </c>
      <c r="C21" t="s">
        <v>1033</v>
      </c>
      <c r="D21" t="str">
        <f t="shared" si="1"/>
        <v>&lt;property id="param10" type="number"&gt;0&lt;/property&gt;</v>
      </c>
      <c r="H21">
        <v>0</v>
      </c>
      <c r="I21" t="s">
        <v>1027</v>
      </c>
      <c r="K21" t="str">
        <f t="shared" si="2"/>
        <v>    &lt;setting propertyKey="@Properties.param10" title="@Strings.Field3"&gt;&lt;settingConfig type="list" &gt;</v>
      </c>
      <c r="U21" t="str">
        <f t="shared" si="3"/>
        <v>&lt;string id="Field3"&gt;Field3&lt;/string&gt;</v>
      </c>
    </row>
    <row r="22" spans="1:21">
      <c r="A22" t="s">
        <v>996</v>
      </c>
      <c r="B22">
        <v>11</v>
      </c>
      <c r="C22" t="s">
        <v>1033</v>
      </c>
      <c r="D22" t="str">
        <f t="shared" si="1"/>
        <v>&lt;property id="param11" type="number"&gt;1&lt;/property&gt;</v>
      </c>
      <c r="H22">
        <v>1</v>
      </c>
      <c r="I22" t="s">
        <v>1027</v>
      </c>
      <c r="K22" t="str">
        <f t="shared" si="2"/>
        <v>    &lt;setting propertyKey="@Properties.param11" title="@Strings.Field3Color"&gt;&lt;settingConfig type="list" &gt;</v>
      </c>
      <c r="U22" t="str">
        <f t="shared" si="3"/>
        <v>&lt;string id="Field3Color"&gt;Field3Color&lt;/string&gt;</v>
      </c>
    </row>
    <row r="23" spans="1:21">
      <c r="A23" t="s">
        <v>997</v>
      </c>
      <c r="B23">
        <v>12</v>
      </c>
      <c r="C23" t="s">
        <v>1033</v>
      </c>
      <c r="D23" t="str">
        <f t="shared" si="1"/>
        <v>&lt;property id="param12" type="number"&gt;0&lt;/property&gt;</v>
      </c>
      <c r="H23">
        <v>0</v>
      </c>
      <c r="I23" t="s">
        <v>1027</v>
      </c>
      <c r="K23" t="str">
        <f t="shared" si="2"/>
        <v>    &lt;setting propertyKey="@Properties.param12" title="@Strings.Field4"&gt;&lt;settingConfig type="list" &gt;</v>
      </c>
      <c r="U23" t="str">
        <f t="shared" si="3"/>
        <v>&lt;string id="Field4"&gt;Field4&lt;/string&gt;</v>
      </c>
    </row>
    <row r="24" spans="1:21">
      <c r="A24" t="s">
        <v>998</v>
      </c>
      <c r="B24">
        <v>13</v>
      </c>
      <c r="C24" t="s">
        <v>1033</v>
      </c>
      <c r="D24" t="str">
        <f t="shared" si="1"/>
        <v>&lt;property id="param13" type="number"&gt;1&lt;/property&gt;</v>
      </c>
      <c r="H24">
        <v>1</v>
      </c>
      <c r="I24" t="s">
        <v>1027</v>
      </c>
      <c r="K24" t="str">
        <f t="shared" si="2"/>
        <v>    &lt;setting propertyKey="@Properties.param13" title="@Strings.Field4Color"&gt;&lt;settingConfig type="list" &gt;</v>
      </c>
      <c r="U24" t="str">
        <f t="shared" si="3"/>
        <v>&lt;string id="Field4Color"&gt;Field4Color&lt;/string&gt;</v>
      </c>
    </row>
    <row r="25" spans="1:21">
      <c r="A25" t="s">
        <v>999</v>
      </c>
      <c r="B25">
        <v>14</v>
      </c>
      <c r="C25" t="s">
        <v>1033</v>
      </c>
      <c r="D25" t="str">
        <f t="shared" si="1"/>
        <v>&lt;property id="param14" type="number"&gt;0&lt;/property&gt;</v>
      </c>
      <c r="H25">
        <v>0</v>
      </c>
      <c r="I25" t="s">
        <v>1027</v>
      </c>
      <c r="K25" t="str">
        <f t="shared" si="2"/>
        <v>    &lt;setting propertyKey="@Properties.param14" title="@Strings.sourceBG"&gt;&lt;settingConfig type="list" &gt;</v>
      </c>
      <c r="U25" t="str">
        <f t="shared" si="3"/>
        <v>&lt;string id="sourceBG"&gt;sourceBG&lt;/string&gt;</v>
      </c>
    </row>
    <row r="26" spans="1:21">
      <c r="A26" t="s">
        <v>1029</v>
      </c>
      <c r="B26">
        <v>15</v>
      </c>
      <c r="C26" t="s">
        <v>1032</v>
      </c>
      <c r="D26" t="str">
        <f t="shared" si="1"/>
        <v>&lt;property id="param15" type="string"&gt;&lt;/property&gt;</v>
      </c>
      <c r="I26" t="s">
        <v>1034</v>
      </c>
      <c r="J26" t="s">
        <v>1035</v>
      </c>
      <c r="K26" t="str">
        <f t="shared" si="2"/>
        <v>    &lt;setting propertyKey="@Properties.param15" title="@Strings.code"&gt;&lt;settingConfig type="alphanumeric/" &gt;</v>
      </c>
      <c r="U26" t="str">
        <f t="shared" si="3"/>
        <v>&lt;string id="code"&gt;code&lt;/string&gt;</v>
      </c>
    </row>
    <row r="27" spans="1:21">
      <c r="A27" t="s">
        <v>1030</v>
      </c>
      <c r="B27">
        <v>16</v>
      </c>
      <c r="C27" t="s">
        <v>1032</v>
      </c>
      <c r="D27" t="str">
        <f t="shared" si="1"/>
        <v>&lt;property id="param16" type="string"&gt;&lt;/property&gt;</v>
      </c>
      <c r="I27" t="s">
        <v>1034</v>
      </c>
      <c r="J27" t="s">
        <v>1035</v>
      </c>
      <c r="K27" t="str">
        <f t="shared" si="2"/>
        <v>    &lt;setting propertyKey="@Properties.param16" title="@Strings.Nsurl"&gt;&lt;settingConfig type="alphanumeric/" &gt;</v>
      </c>
      <c r="U27" t="str">
        <f t="shared" si="3"/>
        <v>&lt;string id="Nsurl"&gt;Nsurl&lt;/string&gt;</v>
      </c>
    </row>
    <row r="28" spans="1:21">
      <c r="A28" t="s">
        <v>1031</v>
      </c>
      <c r="B28">
        <v>17</v>
      </c>
      <c r="C28" t="s">
        <v>1032</v>
      </c>
      <c r="D28" t="str">
        <f t="shared" si="1"/>
        <v>&lt;property id="param17" type="string"&gt;&lt;/property&gt;</v>
      </c>
      <c r="I28" t="s">
        <v>1034</v>
      </c>
      <c r="J28" t="s">
        <v>1035</v>
      </c>
      <c r="K28" t="str">
        <f t="shared" si="2"/>
        <v>    &lt;setting propertyKey="@Properties.param17" title="@Strings.Nstoken"&gt;&lt;settingConfig type="alphanumeric/" &gt;</v>
      </c>
      <c r="U28" t="str">
        <f t="shared" si="3"/>
        <v>&lt;string id="Nstoken"&gt;Nstoken&lt;/string&gt;</v>
      </c>
    </row>
    <row r="31" spans="1:21">
      <c r="A31" t="s">
        <v>985</v>
      </c>
      <c r="B31" t="str">
        <f>"&lt;string id="""&amp;A31&amp;"""&gt;"&amp;A31&amp;"&lt;/string&gt;"</f>
        <v>&lt;string id="BackGroundColor"&gt;BackGroundColor&lt;/string&gt;</v>
      </c>
      <c r="E31">
        <v>0</v>
      </c>
      <c r="F31" t="str">
        <f>"&lt;listEntry value="""&amp;E31&amp;"""&gt;@Strings."&amp;A31&amp;"&lt;/listEntry&gt;"</f>
        <v>&lt;listEntry value="0"&gt;@Strings.BackGroundColor&lt;/listEntry&gt;</v>
      </c>
      <c r="M31" t="str">
        <f>"tab.add(WatchUi.loadResource(Rez.Strings."&amp;A31&amp;"));"</f>
        <v>tab.add(WatchUi.loadResource(Rez.Strings.BackGroundColor));</v>
      </c>
      <c r="R31">
        <v>0</v>
      </c>
      <c r="S31" t="str">
        <f>"tab.add(WatchUi.loadResource(Rez.Strings.param"&amp;R31&amp;"));"</f>
        <v>tab.add(WatchUi.loadResource(Rez.Strings.param0));</v>
      </c>
    </row>
    <row r="32" spans="1:21">
      <c r="A32" t="s">
        <v>986</v>
      </c>
      <c r="M32" t="str">
        <f t="shared" ref="M32:M36" si="4">"tab.add(WatchUi.loadResource(Rez.Strings."&amp;A32&amp;"));"</f>
        <v>tab.add(WatchUi.loadResource(Rez.Strings.PresentColor));</v>
      </c>
      <c r="R32">
        <v>1</v>
      </c>
      <c r="S32" t="str">
        <f t="shared" ref="S32:S48" si="5">"tab.add(WatchUi.loadResource(Rez.Strings.param"&amp;R32&amp;"));"</f>
        <v>tab.add(WatchUi.loadResource(Rez.Strings.param1));</v>
      </c>
    </row>
    <row r="33" spans="1:19">
      <c r="A33" t="s">
        <v>987</v>
      </c>
      <c r="M33" t="str">
        <f t="shared" si="4"/>
        <v>tab.add(WatchUi.loadResource(Rez.Strings.PastFutureColor));</v>
      </c>
      <c r="R33">
        <v>2</v>
      </c>
      <c r="S33" t="str">
        <f t="shared" si="5"/>
        <v>tab.add(WatchUi.loadResource(Rez.Strings.param2));</v>
      </c>
    </row>
    <row r="34" spans="1:19">
      <c r="A34" t="s">
        <v>988</v>
      </c>
      <c r="M34" t="str">
        <f t="shared" si="4"/>
        <v>tab.add(WatchUi.loadResource(Rez.Strings.HourColor));</v>
      </c>
      <c r="R34">
        <v>3</v>
      </c>
      <c r="S34" t="str">
        <f t="shared" si="5"/>
        <v>tab.add(WatchUi.loadResource(Rez.Strings.param3));</v>
      </c>
    </row>
    <row r="35" spans="1:19">
      <c r="A35" t="s">
        <v>989</v>
      </c>
      <c r="M35" t="str">
        <f t="shared" si="4"/>
        <v>tab.add(WatchUi.loadResource(Rez.Strings.MinutesColor));</v>
      </c>
      <c r="R35">
        <v>4</v>
      </c>
      <c r="S35" t="str">
        <f t="shared" si="5"/>
        <v>tab.add(WatchUi.loadResource(Rez.Strings.param4));</v>
      </c>
    </row>
    <row r="36" spans="1:19">
      <c r="A36" t="s">
        <v>990</v>
      </c>
      <c r="M36" t="str">
        <f t="shared" si="4"/>
        <v>tab.add(WatchUi.loadResource(Rez.Strings.is24h));</v>
      </c>
      <c r="R36">
        <v>5</v>
      </c>
      <c r="S36" t="str">
        <f t="shared" si="5"/>
        <v>tab.add(WatchUi.loadResource(Rez.Strings.param5));</v>
      </c>
    </row>
    <row r="37" spans="1:19">
      <c r="A37" t="s">
        <v>991</v>
      </c>
      <c r="M37" t="str">
        <f t="shared" ref="M37:M44" si="6">"tab.add(WatchUi.loadResource(Rez.Strings."&amp;A37&amp;"));"</f>
        <v>tab.add(WatchUi.loadResource(Rez.Strings.Field1));</v>
      </c>
      <c r="R37">
        <v>6</v>
      </c>
      <c r="S37" t="str">
        <f t="shared" si="5"/>
        <v>tab.add(WatchUi.loadResource(Rez.Strings.param6));</v>
      </c>
    </row>
    <row r="38" spans="1:19">
      <c r="A38" t="s">
        <v>992</v>
      </c>
      <c r="M38" t="str">
        <f t="shared" si="6"/>
        <v>tab.add(WatchUi.loadResource(Rez.Strings.Field1Color));</v>
      </c>
      <c r="R38">
        <v>7</v>
      </c>
      <c r="S38" t="str">
        <f t="shared" si="5"/>
        <v>tab.add(WatchUi.loadResource(Rez.Strings.param7));</v>
      </c>
    </row>
    <row r="39" spans="1:19">
      <c r="A39" t="s">
        <v>993</v>
      </c>
      <c r="M39" t="str">
        <f t="shared" si="6"/>
        <v>tab.add(WatchUi.loadResource(Rez.Strings.Field2));</v>
      </c>
      <c r="R39">
        <v>8</v>
      </c>
      <c r="S39" t="str">
        <f t="shared" si="5"/>
        <v>tab.add(WatchUi.loadResource(Rez.Strings.param8));</v>
      </c>
    </row>
    <row r="40" spans="1:19">
      <c r="A40" t="s">
        <v>994</v>
      </c>
      <c r="M40" t="str">
        <f t="shared" si="6"/>
        <v>tab.add(WatchUi.loadResource(Rez.Strings.Field2Color));</v>
      </c>
      <c r="R40">
        <v>9</v>
      </c>
      <c r="S40" t="str">
        <f t="shared" si="5"/>
        <v>tab.add(WatchUi.loadResource(Rez.Strings.param9));</v>
      </c>
    </row>
    <row r="41" spans="1:19">
      <c r="A41" t="s">
        <v>995</v>
      </c>
      <c r="M41" t="str">
        <f t="shared" si="6"/>
        <v>tab.add(WatchUi.loadResource(Rez.Strings.Field3));</v>
      </c>
      <c r="R41">
        <v>10</v>
      </c>
      <c r="S41" t="str">
        <f t="shared" si="5"/>
        <v>tab.add(WatchUi.loadResource(Rez.Strings.param10));</v>
      </c>
    </row>
    <row r="42" spans="1:19">
      <c r="A42" t="s">
        <v>996</v>
      </c>
      <c r="M42" t="str">
        <f t="shared" si="6"/>
        <v>tab.add(WatchUi.loadResource(Rez.Strings.Field3Color));</v>
      </c>
      <c r="R42">
        <v>11</v>
      </c>
      <c r="S42" t="str">
        <f t="shared" si="5"/>
        <v>tab.add(WatchUi.loadResource(Rez.Strings.param11));</v>
      </c>
    </row>
    <row r="43" spans="1:19">
      <c r="A43" t="s">
        <v>997</v>
      </c>
      <c r="M43" t="str">
        <f t="shared" si="6"/>
        <v>tab.add(WatchUi.loadResource(Rez.Strings.Field4));</v>
      </c>
      <c r="R43">
        <v>12</v>
      </c>
      <c r="S43" t="str">
        <f t="shared" si="5"/>
        <v>tab.add(WatchUi.loadResource(Rez.Strings.param12));</v>
      </c>
    </row>
    <row r="44" spans="1:19">
      <c r="A44" t="s">
        <v>998</v>
      </c>
      <c r="M44" t="str">
        <f t="shared" si="6"/>
        <v>tab.add(WatchUi.loadResource(Rez.Strings.Field4Color));</v>
      </c>
      <c r="R44">
        <v>13</v>
      </c>
      <c r="S44" t="str">
        <f t="shared" si="5"/>
        <v>tab.add(WatchUi.loadResource(Rez.Strings.param13));</v>
      </c>
    </row>
    <row r="45" spans="1:19">
      <c r="A45" t="s">
        <v>999</v>
      </c>
      <c r="R45">
        <v>14</v>
      </c>
      <c r="S45" t="str">
        <f t="shared" si="5"/>
        <v>tab.add(WatchUi.loadResource(Rez.Strings.param14));</v>
      </c>
    </row>
    <row r="46" spans="1:19">
      <c r="A46" t="s">
        <v>1029</v>
      </c>
      <c r="R46">
        <v>15</v>
      </c>
      <c r="S46" t="str">
        <f t="shared" si="5"/>
        <v>tab.add(WatchUi.loadResource(Rez.Strings.param15));</v>
      </c>
    </row>
    <row r="47" spans="1:19">
      <c r="A47" t="s">
        <v>1030</v>
      </c>
      <c r="R47">
        <v>16</v>
      </c>
      <c r="S47" t="str">
        <f t="shared" si="5"/>
        <v>tab.add(WatchUi.loadResource(Rez.Strings.param16));</v>
      </c>
    </row>
    <row r="48" spans="1:19">
      <c r="A48" t="s">
        <v>1031</v>
      </c>
      <c r="R48">
        <v>17</v>
      </c>
      <c r="S48" t="str">
        <f t="shared" si="5"/>
        <v>tab.add(WatchUi.loadResource(Rez.Strings.param17));</v>
      </c>
    </row>
    <row r="50" spans="1:13">
      <c r="A50" t="s">
        <v>418</v>
      </c>
      <c r="B50" t="str">
        <f>"&lt;string id="""&amp;A50&amp;"""&gt;"&amp;A50&amp;"&lt;/string&gt;"</f>
        <v>&lt;string id="Aqua"&gt;Aqua&lt;/string&gt;</v>
      </c>
      <c r="E50">
        <v>0</v>
      </c>
      <c r="F50" t="str">
        <f>"&lt;listEntry value="""&amp;E50&amp;"""&gt;@Strings."&amp;A50&amp;"&lt;/listEntry&gt;"</f>
        <v>&lt;listEntry value="0"&gt;@Strings.Aqua&lt;/listEntry&gt;</v>
      </c>
      <c r="M50" t="str">
        <f>"tab.add(WatchUi.loadResource(Rez.Strings."&amp;A50&amp;"));"</f>
        <v>tab.add(WatchUi.loadResource(Rez.Strings.Aqua));</v>
      </c>
    </row>
    <row r="51" spans="1:13">
      <c r="A51" t="s">
        <v>400</v>
      </c>
      <c r="B51" t="str">
        <f t="shared" ref="B51:B96" si="7">"&lt;string id="""&amp;A51&amp;"""&gt;"&amp;A51&amp;"&lt;/string&gt;"</f>
        <v>&lt;string id="Black"&gt;Black&lt;/string&gt;</v>
      </c>
      <c r="E51">
        <v>1</v>
      </c>
      <c r="F51" t="str">
        <f t="shared" ref="F51:F96" si="8">"&lt;listEntry value="""&amp;E51&amp;"""&gt;@Strings."&amp;A51&amp;"&lt;/listEntry&gt;"</f>
        <v>&lt;listEntry value="1"&gt;@Strings.Black&lt;/listEntry&gt;</v>
      </c>
      <c r="M51" t="str">
        <f t="shared" ref="M51:M96" si="9">"tab.add(WatchUi.loadResource(Rez.Strings."&amp;A51&amp;"));"</f>
        <v>tab.add(WatchUi.loadResource(Rez.Strings.Black));</v>
      </c>
    </row>
    <row r="52" spans="1:13">
      <c r="A52" t="s">
        <v>401</v>
      </c>
      <c r="B52" t="str">
        <f t="shared" si="7"/>
        <v>&lt;string id="Blue"&gt;Blue&lt;/string&gt;</v>
      </c>
      <c r="E52">
        <v>2</v>
      </c>
      <c r="F52" t="str">
        <f t="shared" si="8"/>
        <v>&lt;listEntry value="2"&gt;@Strings.Blue&lt;/listEntry&gt;</v>
      </c>
      <c r="M52" t="str">
        <f t="shared" si="9"/>
        <v>tab.add(WatchUi.loadResource(Rez.Strings.Blue));</v>
      </c>
    </row>
    <row r="53" spans="1:13">
      <c r="A53" t="s">
        <v>473</v>
      </c>
      <c r="B53" t="str">
        <f t="shared" si="7"/>
        <v>&lt;string id="Blue_Dark"&gt;Blue_Dark&lt;/string&gt;</v>
      </c>
      <c r="E53">
        <v>3</v>
      </c>
      <c r="F53" t="str">
        <f t="shared" si="8"/>
        <v>&lt;listEntry value="3"&gt;@Strings.Blue_Dark&lt;/listEntry&gt;</v>
      </c>
      <c r="M53" t="str">
        <f t="shared" si="9"/>
        <v>tab.add(WatchUi.loadResource(Rez.Strings.Blue_Dark));</v>
      </c>
    </row>
    <row r="54" spans="1:13">
      <c r="A54" t="s">
        <v>474</v>
      </c>
      <c r="B54" t="str">
        <f t="shared" si="7"/>
        <v>&lt;string id="Blue_Ice"&gt;Blue_Ice&lt;/string&gt;</v>
      </c>
      <c r="E54">
        <v>4</v>
      </c>
      <c r="F54" t="str">
        <f t="shared" si="8"/>
        <v>&lt;listEntry value="4"&gt;@Strings.Blue_Ice&lt;/listEntry&gt;</v>
      </c>
      <c r="M54" t="str">
        <f t="shared" si="9"/>
        <v>tab.add(WatchUi.loadResource(Rez.Strings.Blue_Ice));</v>
      </c>
    </row>
    <row r="55" spans="1:13">
      <c r="A55" t="s">
        <v>475</v>
      </c>
      <c r="B55" t="str">
        <f t="shared" si="7"/>
        <v>&lt;string id="Blue_Light"&gt;Blue_Light&lt;/string&gt;</v>
      </c>
      <c r="E55">
        <v>5</v>
      </c>
      <c r="F55" t="str">
        <f t="shared" si="8"/>
        <v>&lt;listEntry value="5"&gt;@Strings.Blue_Light&lt;/listEntry&gt;</v>
      </c>
      <c r="M55" t="str">
        <f t="shared" si="9"/>
        <v>tab.add(WatchUi.loadResource(Rez.Strings.Blue_Light));</v>
      </c>
    </row>
    <row r="56" spans="1:13">
      <c r="A56" t="s">
        <v>476</v>
      </c>
      <c r="B56" t="str">
        <f t="shared" si="7"/>
        <v>&lt;string id="Blue_Ocean"&gt;Blue_Ocean&lt;/string&gt;</v>
      </c>
      <c r="E56">
        <v>6</v>
      </c>
      <c r="F56" t="str">
        <f t="shared" si="8"/>
        <v>&lt;listEntry value="6"&gt;@Strings.Blue_Ocean&lt;/listEntry&gt;</v>
      </c>
      <c r="M56" t="str">
        <f t="shared" si="9"/>
        <v>tab.add(WatchUi.loadResource(Rez.Strings.Blue_Ocean));</v>
      </c>
    </row>
    <row r="57" spans="1:13">
      <c r="A57" t="s">
        <v>477</v>
      </c>
      <c r="B57" t="str">
        <f t="shared" si="7"/>
        <v>&lt;string id="Blue_Pale"&gt;Blue_Pale&lt;/string&gt;</v>
      </c>
      <c r="E57">
        <v>7</v>
      </c>
      <c r="F57" t="str">
        <f t="shared" si="8"/>
        <v>&lt;listEntry value="7"&gt;@Strings.Blue_Pale&lt;/listEntry&gt;</v>
      </c>
      <c r="M57" t="str">
        <f t="shared" si="9"/>
        <v>tab.add(WatchUi.loadResource(Rez.Strings.Blue_Pale));</v>
      </c>
    </row>
    <row r="58" spans="1:13">
      <c r="A58" t="s">
        <v>478</v>
      </c>
      <c r="B58" t="str">
        <f t="shared" si="7"/>
        <v>&lt;string id="Blue_Sky"&gt;Blue_Sky&lt;/string&gt;</v>
      </c>
      <c r="E58">
        <v>8</v>
      </c>
      <c r="F58" t="str">
        <f t="shared" si="8"/>
        <v>&lt;listEntry value="8"&gt;@Strings.Blue_Sky&lt;/listEntry&gt;</v>
      </c>
      <c r="M58" t="str">
        <f t="shared" si="9"/>
        <v>tab.add(WatchUi.loadResource(Rez.Strings.Blue_Sky));</v>
      </c>
    </row>
    <row r="59" spans="1:13">
      <c r="A59" t="s">
        <v>412</v>
      </c>
      <c r="B59" t="str">
        <f t="shared" si="7"/>
        <v>&lt;string id="Brown"&gt;Brown&lt;/string&gt;</v>
      </c>
      <c r="E59">
        <v>9</v>
      </c>
      <c r="F59" t="str">
        <f t="shared" si="8"/>
        <v>&lt;listEntry value="9"&gt;@Strings.Brown&lt;/listEntry&gt;</v>
      </c>
      <c r="M59" t="str">
        <f t="shared" si="9"/>
        <v>tab.add(WatchUi.loadResource(Rez.Strings.Brown));</v>
      </c>
    </row>
    <row r="60" spans="1:13">
      <c r="A60" t="s">
        <v>416</v>
      </c>
      <c r="B60" t="str">
        <f t="shared" si="7"/>
        <v>&lt;string id="Coral"&gt;Coral&lt;/string&gt;</v>
      </c>
      <c r="E60">
        <v>10</v>
      </c>
      <c r="F60" t="str">
        <f t="shared" si="8"/>
        <v>&lt;listEntry value="10"&gt;@Strings.Coral&lt;/listEntry&gt;</v>
      </c>
      <c r="M60" t="str">
        <f t="shared" si="9"/>
        <v>tab.add(WatchUi.loadResource(Rez.Strings.Coral));</v>
      </c>
    </row>
    <row r="61" spans="1:13">
      <c r="A61" t="s">
        <v>411</v>
      </c>
      <c r="B61" t="str">
        <f t="shared" si="7"/>
        <v>&lt;string id="Gold"&gt;Gold&lt;/string&gt;</v>
      </c>
      <c r="E61">
        <v>11</v>
      </c>
      <c r="F61" t="str">
        <f t="shared" si="8"/>
        <v>&lt;listEntry value="11"&gt;@Strings.Gold&lt;/listEntry&gt;</v>
      </c>
      <c r="M61" t="str">
        <f t="shared" si="9"/>
        <v>tab.add(WatchUi.loadResource(Rez.Strings.Gold));</v>
      </c>
    </row>
    <row r="62" spans="1:13">
      <c r="A62" t="s">
        <v>479</v>
      </c>
      <c r="B62" t="str">
        <f t="shared" si="7"/>
        <v>&lt;string id="Gray_25"&gt;Gray_25&lt;/string&gt;</v>
      </c>
      <c r="E62">
        <v>12</v>
      </c>
      <c r="F62" t="str">
        <f t="shared" si="8"/>
        <v>&lt;listEntry value="12"&gt;@Strings.Gray_25&lt;/listEntry&gt;</v>
      </c>
      <c r="M62" t="str">
        <f t="shared" si="9"/>
        <v>tab.add(WatchUi.loadResource(Rez.Strings.Gray_25));</v>
      </c>
    </row>
    <row r="63" spans="1:13">
      <c r="A63" t="s">
        <v>480</v>
      </c>
      <c r="B63" t="str">
        <f t="shared" si="7"/>
        <v>&lt;string id="Gray_40"&gt;Gray_40&lt;/string&gt;</v>
      </c>
      <c r="E63">
        <v>13</v>
      </c>
      <c r="F63" t="str">
        <f t="shared" si="8"/>
        <v>&lt;listEntry value="13"&gt;@Strings.Gray_40&lt;/listEntry&gt;</v>
      </c>
      <c r="M63" t="str">
        <f t="shared" si="9"/>
        <v>tab.add(WatchUi.loadResource(Rez.Strings.Gray_40));</v>
      </c>
    </row>
    <row r="64" spans="1:13">
      <c r="A64" t="s">
        <v>481</v>
      </c>
      <c r="B64" t="str">
        <f t="shared" si="7"/>
        <v>&lt;string id="Gray_50"&gt;Gray_50&lt;/string&gt;</v>
      </c>
      <c r="E64">
        <v>14</v>
      </c>
      <c r="F64" t="str">
        <f t="shared" si="8"/>
        <v>&lt;listEntry value="14"&gt;@Strings.Gray_50&lt;/listEntry&gt;</v>
      </c>
      <c r="M64" t="str">
        <f t="shared" si="9"/>
        <v>tab.add(WatchUi.loadResource(Rez.Strings.Gray_50));</v>
      </c>
    </row>
    <row r="65" spans="1:13">
      <c r="A65" t="s">
        <v>482</v>
      </c>
      <c r="B65" t="str">
        <f t="shared" si="7"/>
        <v>&lt;string id="Gray_80"&gt;Gray_80&lt;/string&gt;</v>
      </c>
      <c r="E65">
        <v>15</v>
      </c>
      <c r="F65" t="str">
        <f t="shared" si="8"/>
        <v>&lt;listEntry value="15"&gt;@Strings.Gray_80&lt;/listEntry&gt;</v>
      </c>
      <c r="M65" t="str">
        <f t="shared" si="9"/>
        <v>tab.add(WatchUi.loadResource(Rez.Strings.Gray_80));</v>
      </c>
    </row>
    <row r="66" spans="1:13">
      <c r="A66" t="s">
        <v>483</v>
      </c>
      <c r="B66" t="str">
        <f t="shared" si="7"/>
        <v>&lt;string id="Gray_Blue"&gt;Gray_Blue&lt;/string&gt;</v>
      </c>
      <c r="E66">
        <v>16</v>
      </c>
      <c r="F66" t="str">
        <f t="shared" si="8"/>
        <v>&lt;listEntry value="16"&gt;@Strings.Gray_Blue&lt;/listEntry&gt;</v>
      </c>
      <c r="M66" t="str">
        <f t="shared" si="9"/>
        <v>tab.add(WatchUi.loadResource(Rez.Strings.Gray_Blue));</v>
      </c>
    </row>
    <row r="67" spans="1:13">
      <c r="A67" t="s">
        <v>402</v>
      </c>
      <c r="B67" t="str">
        <f t="shared" si="7"/>
        <v>&lt;string id="Green"&gt;Green&lt;/string&gt;</v>
      </c>
      <c r="E67">
        <v>17</v>
      </c>
      <c r="F67" t="str">
        <f t="shared" si="8"/>
        <v>&lt;listEntry value="17"&gt;@Strings.Green&lt;/listEntry&gt;</v>
      </c>
      <c r="M67" t="str">
        <f t="shared" si="9"/>
        <v>tab.add(WatchUi.loadResource(Rez.Strings.Green));</v>
      </c>
    </row>
    <row r="68" spans="1:13">
      <c r="A68" t="s">
        <v>484</v>
      </c>
      <c r="B68" t="str">
        <f t="shared" si="7"/>
        <v>&lt;string id="Green_Bright"&gt;Green_Bright&lt;/string&gt;</v>
      </c>
      <c r="E68">
        <v>18</v>
      </c>
      <c r="F68" t="str">
        <f t="shared" si="8"/>
        <v>&lt;listEntry value="18"&gt;@Strings.Green_Bright&lt;/listEntry&gt;</v>
      </c>
      <c r="M68" t="str">
        <f t="shared" si="9"/>
        <v>tab.add(WatchUi.loadResource(Rez.Strings.Green_Bright));</v>
      </c>
    </row>
    <row r="69" spans="1:13">
      <c r="A69" t="s">
        <v>485</v>
      </c>
      <c r="B69" t="str">
        <f t="shared" si="7"/>
        <v>&lt;string id="Green_Dark"&gt;Green_Dark&lt;/string&gt;</v>
      </c>
      <c r="E69">
        <v>19</v>
      </c>
      <c r="F69" t="str">
        <f t="shared" si="8"/>
        <v>&lt;listEntry value="19"&gt;@Strings.Green_Dark&lt;/listEntry&gt;</v>
      </c>
      <c r="M69" t="str">
        <f t="shared" si="9"/>
        <v>tab.add(WatchUi.loadResource(Rez.Strings.Green_Dark));</v>
      </c>
    </row>
    <row r="70" spans="1:13">
      <c r="A70" t="s">
        <v>486</v>
      </c>
      <c r="B70" t="str">
        <f t="shared" si="7"/>
        <v>&lt;string id="Green_Light"&gt;Green_Light&lt;/string&gt;</v>
      </c>
      <c r="E70">
        <v>20</v>
      </c>
      <c r="F70" t="str">
        <f t="shared" si="8"/>
        <v>&lt;listEntry value="20"&gt;@Strings.Green_Light&lt;/listEntry&gt;</v>
      </c>
      <c r="M70" t="str">
        <f t="shared" si="9"/>
        <v>tab.add(WatchUi.loadResource(Rez.Strings.Green_Light));</v>
      </c>
    </row>
    <row r="71" spans="1:13">
      <c r="A71" t="s">
        <v>487</v>
      </c>
      <c r="B71" t="str">
        <f t="shared" si="7"/>
        <v>&lt;string id="Green_Olive"&gt;Green_Olive&lt;/string&gt;</v>
      </c>
      <c r="E71">
        <v>21</v>
      </c>
      <c r="F71" t="str">
        <f t="shared" si="8"/>
        <v>&lt;listEntry value="21"&gt;@Strings.Green_Olive&lt;/listEntry&gt;</v>
      </c>
      <c r="M71" t="str">
        <f t="shared" si="9"/>
        <v>tab.add(WatchUi.loadResource(Rez.Strings.Green_Olive));</v>
      </c>
    </row>
    <row r="72" spans="1:13">
      <c r="A72" t="s">
        <v>488</v>
      </c>
      <c r="B72" t="str">
        <f t="shared" si="7"/>
        <v>&lt;string id="Green_Sea"&gt;Green_Sea&lt;/string&gt;</v>
      </c>
      <c r="E72">
        <v>22</v>
      </c>
      <c r="F72" t="str">
        <f t="shared" si="8"/>
        <v>&lt;listEntry value="22"&gt;@Strings.Green_Sea&lt;/listEntry&gt;</v>
      </c>
      <c r="M72" t="str">
        <f t="shared" si="9"/>
        <v>tab.add(WatchUi.loadResource(Rez.Strings.Green_Sea));</v>
      </c>
    </row>
    <row r="73" spans="1:13">
      <c r="A73" t="s">
        <v>409</v>
      </c>
      <c r="B73" t="str">
        <f t="shared" si="7"/>
        <v>&lt;string id="Indigo"&gt;Indigo&lt;/string&gt;</v>
      </c>
      <c r="E73">
        <v>23</v>
      </c>
      <c r="F73" t="str">
        <f t="shared" si="8"/>
        <v>&lt;listEntry value="23"&gt;@Strings.Indigo&lt;/listEntry&gt;</v>
      </c>
      <c r="M73" t="str">
        <f t="shared" si="9"/>
        <v>tab.add(WatchUi.loadResource(Rez.Strings.Indigo));</v>
      </c>
    </row>
    <row r="74" spans="1:13">
      <c r="A74" t="s">
        <v>420</v>
      </c>
      <c r="B74" t="str">
        <f t="shared" si="7"/>
        <v>&lt;string id="Ivory"&gt;Ivory&lt;/string&gt;</v>
      </c>
      <c r="E74">
        <v>24</v>
      </c>
      <c r="F74" t="str">
        <f t="shared" si="8"/>
        <v>&lt;listEntry value="24"&gt;@Strings.Ivory&lt;/listEntry&gt;</v>
      </c>
      <c r="M74" t="str">
        <f t="shared" si="9"/>
        <v>tab.add(WatchUi.loadResource(Rez.Strings.Ivory));</v>
      </c>
    </row>
    <row r="75" spans="1:13">
      <c r="A75" t="s">
        <v>408</v>
      </c>
      <c r="B75" t="str">
        <f t="shared" si="7"/>
        <v>&lt;string id="Lavender"&gt;Lavender&lt;/string&gt;</v>
      </c>
      <c r="E75">
        <v>25</v>
      </c>
      <c r="F75" t="str">
        <f t="shared" si="8"/>
        <v>&lt;listEntry value="25"&gt;@Strings.Lavender&lt;/listEntry&gt;</v>
      </c>
      <c r="M75" t="str">
        <f t="shared" si="9"/>
        <v>tab.add(WatchUi.loadResource(Rez.Strings.Lavender));</v>
      </c>
    </row>
    <row r="76" spans="1:13">
      <c r="A76" t="s">
        <v>414</v>
      </c>
      <c r="B76" t="str">
        <f t="shared" si="7"/>
        <v>&lt;string id="Lime"&gt;Lime&lt;/string&gt;</v>
      </c>
      <c r="E76">
        <v>26</v>
      </c>
      <c r="F76" t="str">
        <f t="shared" si="8"/>
        <v>&lt;listEntry value="26"&gt;@Strings.Lime&lt;/listEntry&gt;</v>
      </c>
      <c r="M76" t="str">
        <f t="shared" si="9"/>
        <v>tab.add(WatchUi.loadResource(Rez.Strings.Lime));</v>
      </c>
    </row>
    <row r="77" spans="1:13">
      <c r="A77" t="s">
        <v>410</v>
      </c>
      <c r="B77" t="str">
        <f t="shared" si="7"/>
        <v>&lt;string id="Orange"&gt;Orange&lt;/string&gt;</v>
      </c>
      <c r="E77">
        <v>27</v>
      </c>
      <c r="F77" t="str">
        <f t="shared" si="8"/>
        <v>&lt;listEntry value="27"&gt;@Strings.Orange&lt;/listEntry&gt;</v>
      </c>
      <c r="M77" t="str">
        <f t="shared" si="9"/>
        <v>tab.add(WatchUi.loadResource(Rez.Strings.Orange));</v>
      </c>
    </row>
    <row r="78" spans="1:13">
      <c r="A78" t="s">
        <v>489</v>
      </c>
      <c r="B78" t="str">
        <f t="shared" si="7"/>
        <v>&lt;string id="Orange_Light"&gt;Orange_Light&lt;/string&gt;</v>
      </c>
      <c r="E78">
        <v>28</v>
      </c>
      <c r="F78" t="str">
        <f t="shared" si="8"/>
        <v>&lt;listEntry value="28"&gt;@Strings.Orange_Light&lt;/listEntry&gt;</v>
      </c>
      <c r="M78" t="str">
        <f t="shared" si="9"/>
        <v>tab.add(WatchUi.loadResource(Rez.Strings.Orange_Light));</v>
      </c>
    </row>
    <row r="79" spans="1:13">
      <c r="A79" t="s">
        <v>413</v>
      </c>
      <c r="B79" t="str">
        <f t="shared" si="7"/>
        <v>&lt;string id="Periwinkle"&gt;Periwinkle&lt;/string&gt;</v>
      </c>
      <c r="E79">
        <v>29</v>
      </c>
      <c r="F79" t="str">
        <f t="shared" si="8"/>
        <v>&lt;listEntry value="29"&gt;@Strings.Periwinkle&lt;/listEntry&gt;</v>
      </c>
      <c r="M79" t="str">
        <f t="shared" si="9"/>
        <v>tab.add(WatchUi.loadResource(Rez.Strings.Periwinkle));</v>
      </c>
    </row>
    <row r="80" spans="1:13">
      <c r="A80" t="s">
        <v>415</v>
      </c>
      <c r="B80" t="str">
        <f t="shared" si="7"/>
        <v>&lt;string id="Pink"&gt;Pink&lt;/string&gt;</v>
      </c>
      <c r="E80">
        <v>30</v>
      </c>
      <c r="F80" t="str">
        <f t="shared" si="8"/>
        <v>&lt;listEntry value="30"&gt;@Strings.Pink&lt;/listEntry&gt;</v>
      </c>
      <c r="M80" t="str">
        <f t="shared" si="9"/>
        <v>tab.add(WatchUi.loadResource(Rez.Strings.Pink));</v>
      </c>
    </row>
    <row r="81" spans="1:13">
      <c r="A81" t="s">
        <v>406</v>
      </c>
      <c r="B81" t="str">
        <f t="shared" si="7"/>
        <v>&lt;string id="Plum"&gt;Plum&lt;/string&gt;</v>
      </c>
      <c r="E81">
        <v>31</v>
      </c>
      <c r="F81" t="str">
        <f t="shared" si="8"/>
        <v>&lt;listEntry value="31"&gt;@Strings.Plum&lt;/listEntry&gt;</v>
      </c>
      <c r="M81" t="str">
        <f t="shared" si="9"/>
        <v>tab.add(WatchUi.loadResource(Rez.Strings.Plum));</v>
      </c>
    </row>
    <row r="82" spans="1:13">
      <c r="A82" t="s">
        <v>490</v>
      </c>
      <c r="B82" t="str">
        <f t="shared" si="7"/>
        <v>&lt;string id="Purple_Dark"&gt;Purple_Dark&lt;/string&gt;</v>
      </c>
      <c r="E82">
        <v>32</v>
      </c>
      <c r="F82" t="str">
        <f t="shared" si="8"/>
        <v>&lt;listEntry value="32"&gt;@Strings.Purple_Dark&lt;/listEntry&gt;</v>
      </c>
      <c r="M82" t="str">
        <f t="shared" si="9"/>
        <v>tab.add(WatchUi.loadResource(Rez.Strings.Purple_Dark));</v>
      </c>
    </row>
    <row r="83" spans="1:13">
      <c r="A83" t="s">
        <v>403</v>
      </c>
      <c r="B83" t="str">
        <f t="shared" si="7"/>
        <v>&lt;string id="Red"&gt;Red&lt;/string&gt;</v>
      </c>
      <c r="E83">
        <v>33</v>
      </c>
      <c r="F83" t="str">
        <f t="shared" si="8"/>
        <v>&lt;listEntry value="33"&gt;@Strings.Red&lt;/listEntry&gt;</v>
      </c>
      <c r="M83" t="str">
        <f t="shared" si="9"/>
        <v>tab.add(WatchUi.loadResource(Rez.Strings.Red));</v>
      </c>
    </row>
    <row r="84" spans="1:13">
      <c r="A84" t="s">
        <v>491</v>
      </c>
      <c r="B84" t="str">
        <f t="shared" si="7"/>
        <v>&lt;string id="Red_Dark"&gt;Red_Dark&lt;/string&gt;</v>
      </c>
      <c r="E84">
        <v>34</v>
      </c>
      <c r="F84" t="str">
        <f t="shared" si="8"/>
        <v>&lt;listEntry value="34"&gt;@Strings.Red_Dark&lt;/listEntry&gt;</v>
      </c>
      <c r="M84" t="str">
        <f t="shared" si="9"/>
        <v>tab.add(WatchUi.loadResource(Rez.Strings.Red_Dark));</v>
      </c>
    </row>
    <row r="85" spans="1:13">
      <c r="A85" t="s">
        <v>492</v>
      </c>
      <c r="B85" t="str">
        <f t="shared" si="7"/>
        <v>&lt;string id="Rose"&gt;Rose&lt;/string&gt;</v>
      </c>
      <c r="E85">
        <v>35</v>
      </c>
      <c r="F85" t="str">
        <f t="shared" si="8"/>
        <v>&lt;listEntry value="35"&gt;@Strings.Rose&lt;/listEntry&gt;</v>
      </c>
      <c r="M85" t="str">
        <f t="shared" si="9"/>
        <v>tab.add(WatchUi.loadResource(Rez.Strings.Rose));</v>
      </c>
    </row>
    <row r="86" spans="1:13">
      <c r="A86" t="s">
        <v>407</v>
      </c>
      <c r="B86" t="str">
        <f t="shared" si="7"/>
        <v>&lt;string id="Tan"&gt;Tan&lt;/string&gt;</v>
      </c>
      <c r="E86">
        <v>36</v>
      </c>
      <c r="F86" t="str">
        <f t="shared" si="8"/>
        <v>&lt;listEntry value="36"&gt;@Strings.Tan&lt;/listEntry&gt;</v>
      </c>
      <c r="M86" t="str">
        <f t="shared" si="9"/>
        <v>tab.add(WatchUi.loadResource(Rez.Strings.Tan));</v>
      </c>
    </row>
    <row r="87" spans="1:13">
      <c r="A87" t="s">
        <v>417</v>
      </c>
      <c r="B87" t="str">
        <f t="shared" si="7"/>
        <v>&lt;string id="Teal"&gt;Teal&lt;/string&gt;</v>
      </c>
      <c r="E87">
        <v>37</v>
      </c>
      <c r="F87" t="str">
        <f t="shared" si="8"/>
        <v>&lt;listEntry value="37"&gt;@Strings.Teal&lt;/listEntry&gt;</v>
      </c>
      <c r="M87" t="str">
        <f t="shared" si="9"/>
        <v>tab.add(WatchUi.loadResource(Rez.Strings.Teal));</v>
      </c>
    </row>
    <row r="88" spans="1:13">
      <c r="A88" t="s">
        <v>493</v>
      </c>
      <c r="B88" t="str">
        <f t="shared" si="7"/>
        <v>&lt;string id="Teal_Dark"&gt;Teal_Dark&lt;/string&gt;</v>
      </c>
      <c r="E88">
        <v>38</v>
      </c>
      <c r="F88" t="str">
        <f t="shared" si="8"/>
        <v>&lt;listEntry value="38"&gt;@Strings.Teal_Dark&lt;/listEntry&gt;</v>
      </c>
      <c r="M88" t="str">
        <f t="shared" si="9"/>
        <v>tab.add(WatchUi.loadResource(Rez.Strings.Teal_Dark));</v>
      </c>
    </row>
    <row r="89" spans="1:13">
      <c r="A89" t="s">
        <v>419</v>
      </c>
      <c r="B89" t="str">
        <f t="shared" si="7"/>
        <v>&lt;string id="Turquoise"&gt;Turquoise&lt;/string&gt;</v>
      </c>
      <c r="E89">
        <v>39</v>
      </c>
      <c r="F89" t="str">
        <f t="shared" si="8"/>
        <v>&lt;listEntry value="39"&gt;@Strings.Turquoise&lt;/listEntry&gt;</v>
      </c>
      <c r="M89" t="str">
        <f t="shared" si="9"/>
        <v>tab.add(WatchUi.loadResource(Rez.Strings.Turquoise));</v>
      </c>
    </row>
    <row r="90" spans="1:13">
      <c r="A90" t="s">
        <v>494</v>
      </c>
      <c r="B90" t="str">
        <f t="shared" si="7"/>
        <v>&lt;string id="Turquoise_Light"&gt;Turquoise_Light&lt;/string&gt;</v>
      </c>
      <c r="E90">
        <v>40</v>
      </c>
      <c r="F90" t="str">
        <f t="shared" si="8"/>
        <v>&lt;listEntry value="40"&gt;@Strings.Turquoise_Light&lt;/listEntry&gt;</v>
      </c>
      <c r="M90" t="str">
        <f t="shared" si="9"/>
        <v>tab.add(WatchUi.loadResource(Rez.Strings.Turquoise_Light));</v>
      </c>
    </row>
    <row r="91" spans="1:13">
      <c r="A91" t="s">
        <v>421</v>
      </c>
      <c r="B91" t="str">
        <f t="shared" si="7"/>
        <v>&lt;string id="Violet"&gt;Violet&lt;/string&gt;</v>
      </c>
      <c r="E91">
        <v>41</v>
      </c>
      <c r="F91" t="str">
        <f t="shared" si="8"/>
        <v>&lt;listEntry value="41"&gt;@Strings.Violet&lt;/listEntry&gt;</v>
      </c>
      <c r="M91" t="str">
        <f t="shared" si="9"/>
        <v>tab.add(WatchUi.loadResource(Rez.Strings.Violet));</v>
      </c>
    </row>
    <row r="92" spans="1:13">
      <c r="A92" t="s">
        <v>405</v>
      </c>
      <c r="B92" t="str">
        <f t="shared" si="7"/>
        <v>&lt;string id="White"&gt;White&lt;/string&gt;</v>
      </c>
      <c r="E92">
        <v>42</v>
      </c>
      <c r="F92" t="str">
        <f t="shared" si="8"/>
        <v>&lt;listEntry value="42"&gt;@Strings.White&lt;/listEntry&gt;</v>
      </c>
      <c r="M92" t="str">
        <f t="shared" si="9"/>
        <v>tab.add(WatchUi.loadResource(Rez.Strings.White));</v>
      </c>
    </row>
    <row r="93" spans="1:13">
      <c r="A93" t="s">
        <v>404</v>
      </c>
      <c r="B93" t="str">
        <f t="shared" si="7"/>
        <v>&lt;string id="Yellow"&gt;Yellow&lt;/string&gt;</v>
      </c>
      <c r="E93">
        <v>43</v>
      </c>
      <c r="F93" t="str">
        <f t="shared" si="8"/>
        <v>&lt;listEntry value="43"&gt;@Strings.Yellow&lt;/listEntry&gt;</v>
      </c>
      <c r="M93" t="str">
        <f t="shared" si="9"/>
        <v>tab.add(WatchUi.loadResource(Rez.Strings.Yellow));</v>
      </c>
    </row>
    <row r="94" spans="1:13">
      <c r="A94" t="s">
        <v>495</v>
      </c>
      <c r="B94" t="str">
        <f t="shared" si="7"/>
        <v>&lt;string id="Yellow_Dark"&gt;Yellow_Dark&lt;/string&gt;</v>
      </c>
      <c r="E94">
        <v>44</v>
      </c>
      <c r="F94" t="str">
        <f t="shared" si="8"/>
        <v>&lt;listEntry value="44"&gt;@Strings.Yellow_Dark&lt;/listEntry&gt;</v>
      </c>
      <c r="M94" t="str">
        <f t="shared" si="9"/>
        <v>tab.add(WatchUi.loadResource(Rez.Strings.Yellow_Dark));</v>
      </c>
    </row>
    <row r="95" spans="1:13">
      <c r="A95" t="s">
        <v>496</v>
      </c>
      <c r="B95" t="str">
        <f t="shared" si="7"/>
        <v>&lt;string id="Yellow_Light"&gt;Yellow_Light&lt;/string&gt;</v>
      </c>
      <c r="E95">
        <v>45</v>
      </c>
      <c r="F95" t="str">
        <f t="shared" si="8"/>
        <v>&lt;listEntry value="45"&gt;@Strings.Yellow_Light&lt;/listEntry&gt;</v>
      </c>
      <c r="M95" t="str">
        <f t="shared" si="9"/>
        <v>tab.add(WatchUi.loadResource(Rez.Strings.Yellow_Light));</v>
      </c>
    </row>
    <row r="96" spans="1:13">
      <c r="A96" t="s">
        <v>1000</v>
      </c>
      <c r="B96" t="str">
        <f t="shared" si="7"/>
        <v>&lt;string id="Transparent"&gt;Transparent&lt;/string&gt;</v>
      </c>
      <c r="E96">
        <v>46</v>
      </c>
      <c r="F96" t="str">
        <f t="shared" si="8"/>
        <v>&lt;listEntry value="46"&gt;@Strings.Transparent&lt;/listEntry&gt;</v>
      </c>
      <c r="M96" t="str">
        <f t="shared" si="9"/>
        <v>tab.add(WatchUi.loadResource(Rez.Strings.Transparent));</v>
      </c>
    </row>
    <row r="97" spans="1:13">
      <c r="F97" t="s">
        <v>1026</v>
      </c>
    </row>
    <row r="101" spans="1:13">
      <c r="A101" t="s">
        <v>1001</v>
      </c>
      <c r="B101" t="str">
        <f>"&lt;string id="""&amp;A101&amp;"""&gt;"&amp;A101&amp;"&lt;/string&gt;"</f>
        <v>&lt;string id="Nothing"&gt;Nothing&lt;/string&gt;</v>
      </c>
      <c r="E101">
        <v>0</v>
      </c>
      <c r="F101" t="str">
        <f>"&lt;listEntry value="""&amp;E101&amp;"""&gt;@Strings."&amp;A101&amp;"&lt;/listEntry&gt;"</f>
        <v>&lt;listEntry value="0"&gt;@Strings.Nothing&lt;/listEntry&gt;</v>
      </c>
      <c r="M101" t="str">
        <f t="shared" ref="M101:M128" si="10">"tab.add(WatchUi.loadResource(Rez.Strings."&amp;A101&amp;"));"</f>
        <v>tab.add(WatchUi.loadResource(Rez.Strings.Nothing));</v>
      </c>
    </row>
    <row r="102" spans="1:13">
      <c r="A102" t="s">
        <v>1002</v>
      </c>
      <c r="B102" t="str">
        <f t="shared" ref="B102:B128" si="11">"&lt;string id="""&amp;A102&amp;"""&gt;"&amp;A102&amp;"&lt;/string&gt;"</f>
        <v>&lt;string id="Battery"&gt;Battery&lt;/string&gt;</v>
      </c>
      <c r="E102">
        <v>1</v>
      </c>
      <c r="F102" t="str">
        <f t="shared" ref="F102:F128" si="12">"&lt;listEntry value="""&amp;E102&amp;"""&gt;@Strings."&amp;A102&amp;"&lt;/listEntry&gt;"</f>
        <v>&lt;listEntry value="1"&gt;@Strings.Battery&lt;/listEntry&gt;</v>
      </c>
      <c r="M102" t="str">
        <f t="shared" si="10"/>
        <v>tab.add(WatchUi.loadResource(Rez.Strings.Battery));</v>
      </c>
    </row>
    <row r="103" spans="1:13">
      <c r="A103" t="s">
        <v>1003</v>
      </c>
      <c r="B103" t="str">
        <f t="shared" si="11"/>
        <v>&lt;string id="Steps"&gt;Steps&lt;/string&gt;</v>
      </c>
      <c r="E103">
        <v>2</v>
      </c>
      <c r="F103" t="str">
        <f t="shared" si="12"/>
        <v>&lt;listEntry value="2"&gt;@Strings.Steps&lt;/listEntry&gt;</v>
      </c>
      <c r="M103" t="str">
        <f t="shared" si="10"/>
        <v>tab.add(WatchUi.loadResource(Rez.Strings.Steps));</v>
      </c>
    </row>
    <row r="104" spans="1:13">
      <c r="A104" t="s">
        <v>1004</v>
      </c>
      <c r="B104" t="str">
        <f t="shared" si="11"/>
        <v>&lt;string id="Distance"&gt;Distance&lt;/string&gt;</v>
      </c>
      <c r="E104">
        <v>3</v>
      </c>
      <c r="F104" t="str">
        <f t="shared" si="12"/>
        <v>&lt;listEntry value="3"&gt;@Strings.Distance&lt;/listEntry&gt;</v>
      </c>
      <c r="M104" t="str">
        <f t="shared" si="10"/>
        <v>tab.add(WatchUi.loadResource(Rez.Strings.Distance));</v>
      </c>
    </row>
    <row r="105" spans="1:13">
      <c r="A105" t="s">
        <v>1005</v>
      </c>
      <c r="B105" t="str">
        <f t="shared" si="11"/>
        <v>&lt;string id="Notifs"&gt;Notifs&lt;/string&gt;</v>
      </c>
      <c r="E105">
        <v>4</v>
      </c>
      <c r="F105" t="str">
        <f t="shared" si="12"/>
        <v>&lt;listEntry value="4"&gt;@Strings.Notifs&lt;/listEntry&gt;</v>
      </c>
      <c r="M105" t="str">
        <f t="shared" si="10"/>
        <v>tab.add(WatchUi.loadResource(Rez.Strings.Notifs));</v>
      </c>
    </row>
    <row r="106" spans="1:13">
      <c r="A106" t="s">
        <v>1006</v>
      </c>
      <c r="B106" t="str">
        <f t="shared" si="11"/>
        <v>&lt;string id="Altitude"&gt;Altitude&lt;/string&gt;</v>
      </c>
      <c r="E106">
        <v>5</v>
      </c>
      <c r="F106" t="str">
        <f t="shared" si="12"/>
        <v>&lt;listEntry value="5"&gt;@Strings.Altitude&lt;/listEntry&gt;</v>
      </c>
      <c r="M106" t="str">
        <f t="shared" si="10"/>
        <v>tab.add(WatchUi.loadResource(Rez.Strings.Altitude));</v>
      </c>
    </row>
    <row r="107" spans="1:13">
      <c r="A107" t="s">
        <v>1007</v>
      </c>
      <c r="B107" t="str">
        <f t="shared" si="11"/>
        <v>&lt;string id="Pressure"&gt;Pressure&lt;/string&gt;</v>
      </c>
      <c r="E107">
        <v>6</v>
      </c>
      <c r="F107" t="str">
        <f t="shared" si="12"/>
        <v>&lt;listEntry value="6"&gt;@Strings.Pressure&lt;/listEntry&gt;</v>
      </c>
      <c r="M107" t="str">
        <f t="shared" si="10"/>
        <v>tab.add(WatchUi.loadResource(Rez.Strings.Pressure));</v>
      </c>
    </row>
    <row r="108" spans="1:13">
      <c r="A108" t="s">
        <v>1008</v>
      </c>
      <c r="B108" t="str">
        <f t="shared" si="11"/>
        <v>&lt;string id="Floor"&gt;Floor&lt;/string&gt;</v>
      </c>
      <c r="E108">
        <v>7</v>
      </c>
      <c r="F108" t="str">
        <f t="shared" si="12"/>
        <v>&lt;listEntry value="7"&gt;@Strings.Floor&lt;/listEntry&gt;</v>
      </c>
      <c r="M108" t="str">
        <f t="shared" si="10"/>
        <v>tab.add(WatchUi.loadResource(Rez.Strings.Floor));</v>
      </c>
    </row>
    <row r="109" spans="1:13">
      <c r="A109" t="s">
        <v>1009</v>
      </c>
      <c r="B109" t="str">
        <f t="shared" si="11"/>
        <v>&lt;string id="Temper"&gt;Temper&lt;/string&gt;</v>
      </c>
      <c r="E109">
        <v>8</v>
      </c>
      <c r="F109" t="str">
        <f t="shared" si="12"/>
        <v>&lt;listEntry value="8"&gt;@Strings.Temper&lt;/listEntry&gt;</v>
      </c>
      <c r="M109" t="str">
        <f t="shared" si="10"/>
        <v>tab.add(WatchUi.loadResource(Rez.Strings.Temper));</v>
      </c>
    </row>
    <row r="110" spans="1:13">
      <c r="A110" t="s">
        <v>1010</v>
      </c>
      <c r="B110" t="str">
        <f t="shared" si="11"/>
        <v>&lt;string id="TempExt"&gt;TempExt&lt;/string&gt;</v>
      </c>
      <c r="E110">
        <v>9</v>
      </c>
      <c r="F110" t="str">
        <f t="shared" si="12"/>
        <v>&lt;listEntry value="9"&gt;@Strings.TempExt&lt;/listEntry&gt;</v>
      </c>
      <c r="M110" t="str">
        <f t="shared" si="10"/>
        <v>tab.add(WatchUi.loadResource(Rez.Strings.TempExt));</v>
      </c>
    </row>
    <row r="111" spans="1:13">
      <c r="A111" t="s">
        <v>1011</v>
      </c>
      <c r="B111" t="str">
        <f t="shared" si="11"/>
        <v>&lt;string id="Calories"&gt;Calories&lt;/string&gt;</v>
      </c>
      <c r="E111">
        <v>10</v>
      </c>
      <c r="F111" t="str">
        <f t="shared" si="12"/>
        <v>&lt;listEntry value="10"&gt;@Strings.Calories&lt;/listEntry&gt;</v>
      </c>
      <c r="M111" t="str">
        <f t="shared" si="10"/>
        <v>tab.add(WatchUi.loadResource(Rez.Strings.Calories));</v>
      </c>
    </row>
    <row r="112" spans="1:13">
      <c r="A112" t="s">
        <v>1012</v>
      </c>
      <c r="B112" t="str">
        <f t="shared" si="11"/>
        <v>&lt;string id="CurrentHeartRate"&gt;CurrentHeartRate&lt;/string&gt;</v>
      </c>
      <c r="E112">
        <v>11</v>
      </c>
      <c r="F112" t="str">
        <f t="shared" si="12"/>
        <v>&lt;listEntry value="11"&gt;@Strings.CurrentHeartRate&lt;/listEntry&gt;</v>
      </c>
      <c r="M112" t="str">
        <f t="shared" si="10"/>
        <v>tab.add(WatchUi.loadResource(Rez.Strings.CurrentHeartRate));</v>
      </c>
    </row>
    <row r="113" spans="1:13">
      <c r="A113" t="s">
        <v>1013</v>
      </c>
      <c r="B113" t="str">
        <f t="shared" si="11"/>
        <v>&lt;string id="TimeToRecovery"&gt;TimeToRecovery&lt;/string&gt;</v>
      </c>
      <c r="E113">
        <v>12</v>
      </c>
      <c r="F113" t="str">
        <f t="shared" si="12"/>
        <v>&lt;listEntry value="12"&gt;@Strings.TimeToRecovery&lt;/listEntry&gt;</v>
      </c>
      <c r="M113" t="str">
        <f t="shared" si="10"/>
        <v>tab.add(WatchUi.loadResource(Rez.Strings.TimeToRecovery));</v>
      </c>
    </row>
    <row r="114" spans="1:13">
      <c r="A114" t="s">
        <v>1014</v>
      </c>
      <c r="B114" t="str">
        <f t="shared" si="11"/>
        <v>&lt;string id="BodyBattery"&gt;BodyBattery&lt;/string&gt;</v>
      </c>
      <c r="E114">
        <v>13</v>
      </c>
      <c r="F114" t="str">
        <f t="shared" si="12"/>
        <v>&lt;listEntry value="13"&gt;@Strings.BodyBattery&lt;/listEntry&gt;</v>
      </c>
      <c r="M114" t="str">
        <f t="shared" si="10"/>
        <v>tab.add(WatchUi.loadResource(Rez.Strings.BodyBattery));</v>
      </c>
    </row>
    <row r="115" spans="1:13">
      <c r="A115" t="s">
        <v>1015</v>
      </c>
      <c r="B115" t="str">
        <f t="shared" si="11"/>
        <v>&lt;string id="ActiveMinutesDay"&gt;ActiveMinutesDay&lt;/string&gt;</v>
      </c>
      <c r="E115">
        <v>14</v>
      </c>
      <c r="F115" t="str">
        <f t="shared" si="12"/>
        <v>&lt;listEntry value="14"&gt;@Strings.ActiveMinutesDay&lt;/listEntry&gt;</v>
      </c>
      <c r="M115" t="str">
        <f t="shared" si="10"/>
        <v>tab.add(WatchUi.loadResource(Rez.Strings.ActiveMinutesDay));</v>
      </c>
    </row>
    <row r="116" spans="1:13">
      <c r="A116" t="s">
        <v>1016</v>
      </c>
      <c r="B116" t="str">
        <f t="shared" si="11"/>
        <v>&lt;string id="ActiveMinutesWeek"&gt;ActiveMinutesWeek&lt;/string&gt;</v>
      </c>
      <c r="E116">
        <v>15</v>
      </c>
      <c r="F116" t="str">
        <f t="shared" si="12"/>
        <v>&lt;listEntry value="15"&gt;@Strings.ActiveMinutesWeek&lt;/listEntry&gt;</v>
      </c>
      <c r="M116" t="str">
        <f t="shared" si="10"/>
        <v>tab.add(WatchUi.loadResource(Rez.Strings.ActiveMinutesWeek));</v>
      </c>
    </row>
    <row r="117" spans="1:13">
      <c r="A117" t="s">
        <v>1017</v>
      </c>
      <c r="B117" t="str">
        <f t="shared" si="11"/>
        <v>&lt;string id="BG"&gt;BG&lt;/string&gt;</v>
      </c>
      <c r="E117">
        <v>16</v>
      </c>
      <c r="F117" t="str">
        <f t="shared" si="12"/>
        <v>&lt;listEntry value="16"&gt;@Strings.BG&lt;/listEntry&gt;</v>
      </c>
      <c r="M117" t="str">
        <f t="shared" si="10"/>
        <v>tab.add(WatchUi.loadResource(Rez.Strings.BG));</v>
      </c>
    </row>
    <row r="118" spans="1:13">
      <c r="A118" t="s">
        <v>1039</v>
      </c>
      <c r="B118" t="str">
        <f t="shared" si="11"/>
        <v>&lt;string id="sunset"&gt;sunset&lt;/string&gt;</v>
      </c>
      <c r="E118">
        <v>17</v>
      </c>
      <c r="F118" t="str">
        <f t="shared" ref="F118:F120" si="13">"&lt;listEntry value="""&amp;E118&amp;"""&gt;@Strings."&amp;A118&amp;"&lt;/listEntry&gt;"</f>
        <v>&lt;listEntry value="17"&gt;@Strings.sunset&lt;/listEntry&gt;</v>
      </c>
      <c r="M118" t="str">
        <f t="shared" ref="M118:M120" si="14">"tab.add(WatchUi.loadResource(Rez.Strings."&amp;A118&amp;"));"</f>
        <v>tab.add(WatchUi.loadResource(Rez.Strings.sunset));</v>
      </c>
    </row>
    <row r="119" spans="1:13">
      <c r="A119" t="s">
        <v>1040</v>
      </c>
      <c r="B119" t="str">
        <f t="shared" si="11"/>
        <v>&lt;string id="sunrise"&gt;sunrise&lt;/string&gt;</v>
      </c>
      <c r="E119">
        <v>18</v>
      </c>
      <c r="F119" t="str">
        <f t="shared" si="13"/>
        <v>&lt;listEntry value="18"&gt;@Strings.sunrise&lt;/listEntry&gt;</v>
      </c>
      <c r="M119" t="str">
        <f t="shared" si="14"/>
        <v>tab.add(WatchUi.loadResource(Rez.Strings.sunrise));</v>
      </c>
    </row>
    <row r="120" spans="1:13">
      <c r="A120" t="s">
        <v>1041</v>
      </c>
      <c r="B120" t="str">
        <f t="shared" si="11"/>
        <v>&lt;string id="spo2"&gt;spo2&lt;/string&gt;</v>
      </c>
      <c r="E120">
        <v>19</v>
      </c>
      <c r="F120" t="str">
        <f t="shared" si="13"/>
        <v>&lt;listEntry value="19"&gt;@Strings.spo2&lt;/listEntry&gt;</v>
      </c>
      <c r="M120" t="str">
        <f t="shared" si="14"/>
        <v>tab.add(WatchUi.loadResource(Rez.Strings.spo2));</v>
      </c>
    </row>
    <row r="121" spans="1:13">
      <c r="A121" t="s">
        <v>1018</v>
      </c>
      <c r="B121" t="str">
        <f t="shared" si="11"/>
        <v>&lt;string id="Seconds"&gt;Seconds&lt;/string&gt;</v>
      </c>
      <c r="E121">
        <v>20</v>
      </c>
      <c r="F121" t="str">
        <f t="shared" si="12"/>
        <v>&lt;listEntry value="20"&gt;@Strings.Seconds&lt;/listEntry&gt;</v>
      </c>
      <c r="M121" t="str">
        <f t="shared" si="10"/>
        <v>tab.add(WatchUi.loadResource(Rez.Strings.Seconds));</v>
      </c>
    </row>
    <row r="122" spans="1:13">
      <c r="A122" t="s">
        <v>1019</v>
      </c>
      <c r="B122" t="str">
        <f t="shared" si="11"/>
        <v>&lt;string id="Digital_Time"&gt;Digital_Time&lt;/string&gt;</v>
      </c>
      <c r="E122">
        <v>21</v>
      </c>
      <c r="F122" t="str">
        <f t="shared" si="12"/>
        <v>&lt;listEntry value="21"&gt;@Strings.Digital_Time&lt;/listEntry&gt;</v>
      </c>
      <c r="M122" t="str">
        <f t="shared" si="10"/>
        <v>tab.add(WatchUi.loadResource(Rez.Strings.Digital_Time));</v>
      </c>
    </row>
    <row r="123" spans="1:13">
      <c r="A123" t="s">
        <v>1020</v>
      </c>
      <c r="B123" t="str">
        <f t="shared" si="11"/>
        <v>&lt;string id="MoisJour"&gt;MoisJour&lt;/string&gt;</v>
      </c>
      <c r="E123">
        <v>22</v>
      </c>
      <c r="F123" t="str">
        <f t="shared" si="12"/>
        <v>&lt;listEntry value="22"&gt;@Strings.MoisJour&lt;/listEntry&gt;</v>
      </c>
      <c r="M123" t="str">
        <f t="shared" si="10"/>
        <v>tab.add(WatchUi.loadResource(Rez.Strings.MoisJour));</v>
      </c>
    </row>
    <row r="124" spans="1:13">
      <c r="A124" t="s">
        <v>1021</v>
      </c>
      <c r="B124" t="str">
        <f t="shared" si="11"/>
        <v>&lt;string id="JourMois"&gt;JourMois&lt;/string&gt;</v>
      </c>
      <c r="E124">
        <v>23</v>
      </c>
      <c r="F124" t="str">
        <f t="shared" si="12"/>
        <v>&lt;listEntry value="23"&gt;@Strings.JourMois&lt;/listEntry&gt;</v>
      </c>
      <c r="M124" t="str">
        <f t="shared" si="10"/>
        <v>tab.add(WatchUi.loadResource(Rez.Strings.JourMois));</v>
      </c>
    </row>
    <row r="125" spans="1:13">
      <c r="A125" t="s">
        <v>1022</v>
      </c>
      <c r="B125" t="str">
        <f t="shared" si="11"/>
        <v>&lt;string id="JourSem"&gt;JourSem&lt;/string&gt;</v>
      </c>
      <c r="E125">
        <v>24</v>
      </c>
      <c r="F125" t="str">
        <f t="shared" si="12"/>
        <v>&lt;listEntry value="24"&gt;@Strings.JourSem&lt;/listEntry&gt;</v>
      </c>
      <c r="M125" t="str">
        <f t="shared" si="10"/>
        <v>tab.add(WatchUi.loadResource(Rez.Strings.JourSem));</v>
      </c>
    </row>
    <row r="126" spans="1:13">
      <c r="A126" t="s">
        <v>1023</v>
      </c>
      <c r="B126" t="str">
        <f t="shared" si="11"/>
        <v>&lt;string id="JourSemJour"&gt;JourSemJour&lt;/string&gt;</v>
      </c>
      <c r="E126">
        <v>25</v>
      </c>
      <c r="F126" t="str">
        <f t="shared" si="12"/>
        <v>&lt;listEntry value="25"&gt;@Strings.JourSemJour&lt;/listEntry&gt;</v>
      </c>
      <c r="M126" t="str">
        <f t="shared" si="10"/>
        <v>tab.add(WatchUi.loadResource(Rez.Strings.JourSemJour));</v>
      </c>
    </row>
    <row r="127" spans="1:13">
      <c r="A127" t="s">
        <v>1024</v>
      </c>
      <c r="B127" t="str">
        <f t="shared" si="11"/>
        <v>&lt;string id="JourSemMoisJour"&gt;JourSemMoisJour&lt;/string&gt;</v>
      </c>
      <c r="E127">
        <v>26</v>
      </c>
      <c r="F127" t="str">
        <f t="shared" si="12"/>
        <v>&lt;listEntry value="26"&gt;@Strings.JourSemMoisJour&lt;/listEntry&gt;</v>
      </c>
      <c r="M127" t="str">
        <f t="shared" si="10"/>
        <v>tab.add(WatchUi.loadResource(Rez.Strings.JourSemMoisJour));</v>
      </c>
    </row>
    <row r="128" spans="1:13">
      <c r="A128" t="s">
        <v>1025</v>
      </c>
      <c r="B128" t="str">
        <f t="shared" si="11"/>
        <v>&lt;string id="Week_number"&gt;Week_number&lt;/string&gt;</v>
      </c>
      <c r="E128">
        <v>27</v>
      </c>
      <c r="F128" t="str">
        <f t="shared" si="12"/>
        <v>&lt;listEntry value="27"&gt;@Strings.Week_number&lt;/listEntry&gt;</v>
      </c>
      <c r="M128" t="str">
        <f t="shared" si="10"/>
        <v>tab.add(WatchUi.loadResource(Rez.Strings.Week_number));</v>
      </c>
    </row>
    <row r="129" spans="6:6">
      <c r="F129" t="s">
        <v>1026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5">
        <v>218</v>
      </c>
      <c r="G1" s="15">
        <v>240</v>
      </c>
      <c r="H1" s="15">
        <v>260</v>
      </c>
      <c r="I1" s="15">
        <v>280</v>
      </c>
      <c r="J1" s="15">
        <v>360</v>
      </c>
      <c r="K1" s="15">
        <v>390</v>
      </c>
      <c r="L1" s="15">
        <v>416</v>
      </c>
      <c r="M1" s="15">
        <v>454</v>
      </c>
    </row>
    <row r="2" spans="1:13">
      <c r="A2" t="s">
        <v>13</v>
      </c>
      <c r="B2" s="3" t="s">
        <v>27</v>
      </c>
      <c r="C2" s="18" t="s">
        <v>168</v>
      </c>
      <c r="D2" s="3"/>
      <c r="E2" s="15">
        <v>0.5</v>
      </c>
      <c r="F2" s="14">
        <f>F$1*$E2</f>
        <v>109</v>
      </c>
      <c r="G2" s="14">
        <f t="shared" ref="G2:M2" si="0">G$1*$E2</f>
        <v>120</v>
      </c>
      <c r="H2" s="14">
        <f t="shared" si="0"/>
        <v>130</v>
      </c>
      <c r="I2" s="14">
        <f t="shared" si="0"/>
        <v>140</v>
      </c>
      <c r="J2" s="14">
        <f t="shared" si="0"/>
        <v>180</v>
      </c>
      <c r="K2" s="14">
        <f t="shared" si="0"/>
        <v>195</v>
      </c>
      <c r="L2" s="14">
        <f t="shared" si="0"/>
        <v>208</v>
      </c>
      <c r="M2" s="14">
        <f t="shared" si="0"/>
        <v>227</v>
      </c>
    </row>
    <row r="3" spans="1:13">
      <c r="A3" t="s">
        <v>0</v>
      </c>
      <c r="B3" s="3" t="s">
        <v>16</v>
      </c>
      <c r="C3" s="18" t="s">
        <v>169</v>
      </c>
      <c r="D3" s="3"/>
      <c r="E3" s="15">
        <v>1</v>
      </c>
      <c r="F3" s="14">
        <f t="shared" ref="F3:M9" si="1">F$1*$E3</f>
        <v>218</v>
      </c>
      <c r="G3" s="14">
        <f t="shared" si="1"/>
        <v>240</v>
      </c>
      <c r="H3" s="14">
        <f t="shared" si="1"/>
        <v>260</v>
      </c>
      <c r="I3" s="14">
        <f t="shared" si="1"/>
        <v>280</v>
      </c>
      <c r="J3" s="14">
        <f t="shared" si="1"/>
        <v>360</v>
      </c>
      <c r="K3" s="14">
        <f t="shared" si="1"/>
        <v>390</v>
      </c>
      <c r="L3" s="14">
        <f t="shared" si="1"/>
        <v>416</v>
      </c>
      <c r="M3" s="14">
        <f t="shared" si="1"/>
        <v>454</v>
      </c>
    </row>
    <row r="4" spans="1:13">
      <c r="A4" t="s">
        <v>1</v>
      </c>
      <c r="B4" s="3" t="s">
        <v>17</v>
      </c>
      <c r="C4" s="18" t="s">
        <v>170</v>
      </c>
      <c r="D4" s="3"/>
      <c r="E4" s="15">
        <v>1.5</v>
      </c>
      <c r="F4" s="14">
        <f t="shared" si="1"/>
        <v>327</v>
      </c>
      <c r="G4" s="14">
        <f t="shared" si="1"/>
        <v>360</v>
      </c>
      <c r="H4" s="14">
        <f t="shared" si="1"/>
        <v>390</v>
      </c>
      <c r="I4" s="14">
        <f t="shared" si="1"/>
        <v>420</v>
      </c>
      <c r="J4" s="14">
        <f t="shared" si="1"/>
        <v>540</v>
      </c>
      <c r="K4" s="14">
        <f t="shared" si="1"/>
        <v>585</v>
      </c>
      <c r="L4" s="14">
        <f t="shared" si="1"/>
        <v>624</v>
      </c>
      <c r="M4" s="14">
        <f t="shared" si="1"/>
        <v>681</v>
      </c>
    </row>
    <row r="5" spans="1:13">
      <c r="A5" t="s">
        <v>2</v>
      </c>
      <c r="B5" s="3" t="s">
        <v>19</v>
      </c>
      <c r="C5" s="18" t="s">
        <v>171</v>
      </c>
      <c r="D5" s="3"/>
      <c r="E5" s="15">
        <v>2</v>
      </c>
      <c r="F5" s="14">
        <f t="shared" si="1"/>
        <v>436</v>
      </c>
      <c r="G5" s="14">
        <f t="shared" si="1"/>
        <v>480</v>
      </c>
      <c r="H5" s="14">
        <f t="shared" si="1"/>
        <v>520</v>
      </c>
      <c r="I5" s="14">
        <f t="shared" si="1"/>
        <v>560</v>
      </c>
      <c r="J5" s="14">
        <f t="shared" si="1"/>
        <v>720</v>
      </c>
      <c r="K5" s="14">
        <f t="shared" si="1"/>
        <v>780</v>
      </c>
      <c r="L5" s="14">
        <f t="shared" si="1"/>
        <v>832</v>
      </c>
      <c r="M5" s="14">
        <f t="shared" si="1"/>
        <v>908</v>
      </c>
    </row>
    <row r="6" spans="1:13">
      <c r="A6" t="s">
        <v>4</v>
      </c>
      <c r="B6" s="3" t="s">
        <v>20</v>
      </c>
      <c r="C6" s="18" t="s">
        <v>172</v>
      </c>
      <c r="D6" s="3"/>
      <c r="E6" s="15">
        <v>2.5</v>
      </c>
      <c r="F6" s="14">
        <f t="shared" si="1"/>
        <v>545</v>
      </c>
      <c r="G6" s="14">
        <f t="shared" si="1"/>
        <v>600</v>
      </c>
      <c r="H6" s="14">
        <f t="shared" si="1"/>
        <v>650</v>
      </c>
      <c r="I6" s="14">
        <f t="shared" si="1"/>
        <v>700</v>
      </c>
      <c r="J6" s="14">
        <f t="shared" si="1"/>
        <v>900</v>
      </c>
      <c r="K6" s="14">
        <f t="shared" si="1"/>
        <v>975</v>
      </c>
      <c r="L6" s="14">
        <f t="shared" si="1"/>
        <v>1040</v>
      </c>
      <c r="M6" s="14">
        <f t="shared" si="1"/>
        <v>1135</v>
      </c>
    </row>
    <row r="7" spans="1:13">
      <c r="A7" t="s">
        <v>8</v>
      </c>
      <c r="B7" s="3" t="s">
        <v>25</v>
      </c>
      <c r="C7" s="18" t="s">
        <v>173</v>
      </c>
      <c r="D7" s="3"/>
      <c r="E7" s="15">
        <v>3</v>
      </c>
      <c r="F7" s="14">
        <f t="shared" si="1"/>
        <v>654</v>
      </c>
      <c r="G7" s="14">
        <f t="shared" si="1"/>
        <v>720</v>
      </c>
      <c r="H7" s="14">
        <f t="shared" si="1"/>
        <v>780</v>
      </c>
      <c r="I7" s="14">
        <f t="shared" si="1"/>
        <v>840</v>
      </c>
      <c r="J7" s="14">
        <f t="shared" si="1"/>
        <v>1080</v>
      </c>
      <c r="K7" s="14">
        <f t="shared" si="1"/>
        <v>1170</v>
      </c>
      <c r="L7" s="14">
        <f t="shared" si="1"/>
        <v>1248</v>
      </c>
      <c r="M7" s="14">
        <f t="shared" si="1"/>
        <v>1362</v>
      </c>
    </row>
    <row r="8" spans="1:13">
      <c r="A8" t="s">
        <v>5</v>
      </c>
      <c r="B8" s="3" t="s">
        <v>21</v>
      </c>
      <c r="C8" s="18" t="s">
        <v>174</v>
      </c>
      <c r="D8" s="3"/>
      <c r="E8" s="15">
        <v>3.5</v>
      </c>
      <c r="F8" s="14">
        <f t="shared" si="1"/>
        <v>763</v>
      </c>
      <c r="G8" s="14">
        <f t="shared" si="1"/>
        <v>840</v>
      </c>
      <c r="H8" s="14">
        <f t="shared" si="1"/>
        <v>910</v>
      </c>
      <c r="I8" s="14">
        <f t="shared" si="1"/>
        <v>980</v>
      </c>
      <c r="J8" s="14">
        <f t="shared" si="1"/>
        <v>1260</v>
      </c>
      <c r="K8" s="14">
        <f t="shared" si="1"/>
        <v>1365</v>
      </c>
      <c r="L8" s="14">
        <f t="shared" si="1"/>
        <v>1456</v>
      </c>
      <c r="M8" s="14">
        <f t="shared" si="1"/>
        <v>1589</v>
      </c>
    </row>
    <row r="9" spans="1:13">
      <c r="A9" t="s">
        <v>6</v>
      </c>
      <c r="B9" s="3" t="s">
        <v>23</v>
      </c>
      <c r="C9" s="18" t="s">
        <v>175</v>
      </c>
      <c r="D9" s="3"/>
      <c r="E9" s="15">
        <v>4</v>
      </c>
      <c r="F9" s="14">
        <f t="shared" si="1"/>
        <v>872</v>
      </c>
      <c r="G9" s="14">
        <f t="shared" si="1"/>
        <v>960</v>
      </c>
      <c r="H9" s="14">
        <f t="shared" si="1"/>
        <v>1040</v>
      </c>
      <c r="I9" s="14">
        <f t="shared" si="1"/>
        <v>1120</v>
      </c>
      <c r="J9" s="14">
        <f t="shared" si="1"/>
        <v>1440</v>
      </c>
      <c r="K9" s="14">
        <f t="shared" si="1"/>
        <v>1560</v>
      </c>
      <c r="L9" s="14">
        <f t="shared" si="1"/>
        <v>1664</v>
      </c>
      <c r="M9" s="14">
        <f t="shared" si="1"/>
        <v>1816</v>
      </c>
    </row>
    <row r="10" spans="1:13">
      <c r="A10" t="s">
        <v>14</v>
      </c>
      <c r="B10" s="3" t="s">
        <v>26</v>
      </c>
      <c r="C10" s="18" t="s">
        <v>176</v>
      </c>
      <c r="D10" s="3"/>
      <c r="F10" s="14"/>
      <c r="G10" s="14"/>
      <c r="H10" s="14"/>
      <c r="I10" s="14"/>
      <c r="J10" s="14"/>
      <c r="K10" s="14"/>
      <c r="L10" s="14"/>
      <c r="M10" s="14"/>
    </row>
    <row r="11" spans="1:13">
      <c r="A11" t="s">
        <v>15</v>
      </c>
      <c r="B11" s="3" t="s">
        <v>24</v>
      </c>
      <c r="C11" s="18" t="s">
        <v>177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236</v>
      </c>
      <c r="B13" s="3" t="s">
        <v>237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206</v>
      </c>
      <c r="G17" s="14" t="str">
        <f>F17&amp;" hands"</f>
        <v>Rolex hands</v>
      </c>
      <c r="H17" s="3"/>
      <c r="I17" s="3" t="s">
        <v>215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207</v>
      </c>
      <c r="G18" s="14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208</v>
      </c>
      <c r="G19" s="14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4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4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209</v>
      </c>
      <c r="G22" s="14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203</v>
      </c>
      <c r="B23" s="18" t="s">
        <v>204</v>
      </c>
      <c r="C23" s="3" t="s">
        <v>205</v>
      </c>
      <c r="D23" s="3" t="s">
        <v>222</v>
      </c>
      <c r="F23" s="3" t="s">
        <v>34</v>
      </c>
      <c r="G23" s="14" t="str">
        <f t="shared" si="2"/>
        <v>MontBlanc hands</v>
      </c>
      <c r="H23" s="3"/>
      <c r="I23" s="3"/>
      <c r="J23" s="3"/>
      <c r="K23" s="3"/>
      <c r="L23" s="3"/>
    </row>
    <row r="24" spans="1:12">
      <c r="B24" s="18" t="s">
        <v>216</v>
      </c>
      <c r="C24" s="3" t="s">
        <v>217</v>
      </c>
      <c r="D24" s="3" t="s">
        <v>223</v>
      </c>
      <c r="F24" s="3" t="s">
        <v>37</v>
      </c>
      <c r="G24" s="14" t="str">
        <f t="shared" si="2"/>
        <v>Tissot hands</v>
      </c>
      <c r="H24" s="3"/>
      <c r="I24" s="3"/>
      <c r="J24" s="3"/>
      <c r="K24" s="3"/>
      <c r="L24" s="3"/>
    </row>
    <row r="25" spans="1:12">
      <c r="B25" s="18" t="s">
        <v>220</v>
      </c>
      <c r="C25" s="3" t="s">
        <v>218</v>
      </c>
      <c r="D25" s="3" t="s">
        <v>224</v>
      </c>
      <c r="F25" s="3" t="s">
        <v>33</v>
      </c>
      <c r="G25" s="14" t="str">
        <f t="shared" si="2"/>
        <v>Hamilton hands</v>
      </c>
      <c r="H25" s="3"/>
      <c r="I25" s="3"/>
      <c r="J25" s="3"/>
      <c r="K25" s="3"/>
      <c r="L25" s="3"/>
    </row>
    <row r="26" spans="1:12">
      <c r="B26" s="18" t="s">
        <v>219</v>
      </c>
      <c r="C26" s="3" t="s">
        <v>221</v>
      </c>
      <c r="D26" s="3" t="s">
        <v>225</v>
      </c>
      <c r="F26" s="3" t="s">
        <v>210</v>
      </c>
      <c r="G26" s="14" t="str">
        <f t="shared" si="2"/>
        <v>OmegaSeaMaster hands</v>
      </c>
      <c r="H26" s="3"/>
      <c r="I26" s="3"/>
      <c r="J26" s="3"/>
      <c r="K26" s="3"/>
      <c r="L26" s="3"/>
    </row>
    <row r="27" spans="1:12">
      <c r="B27" s="18" t="s">
        <v>226</v>
      </c>
      <c r="C27" s="3" t="s">
        <v>227</v>
      </c>
      <c r="D27" s="3"/>
      <c r="F27" s="3" t="s">
        <v>35</v>
      </c>
      <c r="G27" s="14" t="str">
        <f t="shared" si="2"/>
        <v>OmegaSpeedMaster hands</v>
      </c>
      <c r="H27" s="3"/>
      <c r="I27" s="3"/>
      <c r="J27" s="3"/>
      <c r="K27" s="3"/>
      <c r="L27" s="3"/>
    </row>
    <row r="28" spans="1:12">
      <c r="A28" s="14"/>
      <c r="F28" s="3" t="s">
        <v>11</v>
      </c>
      <c r="G28" s="14" t="str">
        <f t="shared" si="2"/>
        <v>SeikoDiverSPB051 hands</v>
      </c>
      <c r="H28" s="3"/>
      <c r="I28" s="3"/>
      <c r="J28" s="3"/>
      <c r="K28" s="3"/>
      <c r="L28" s="3"/>
    </row>
    <row r="29" spans="1:12">
      <c r="A29" s="14"/>
      <c r="F29" s="3" t="s">
        <v>9</v>
      </c>
      <c r="G29" s="14" t="str">
        <f t="shared" si="2"/>
        <v>SeikoBlackMonster hands</v>
      </c>
      <c r="H29" s="3"/>
      <c r="I29" s="3"/>
      <c r="J29" s="3"/>
      <c r="K29" s="3"/>
      <c r="L29" s="3"/>
    </row>
    <row r="30" spans="1:12">
      <c r="A30" s="14"/>
      <c r="F30" s="3" t="s">
        <v>211</v>
      </c>
      <c r="G30" s="14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4"/>
      <c r="C31" s="14" t="str">
        <f>C23&amp;" : "&amp;B23</f>
        <v>Liste des 40 modèles : https://youtu.be/bMhu50fmjZU</v>
      </c>
      <c r="D31" s="14" t="str">
        <f>D23&amp;" : "&amp;B23</f>
        <v>List of the 40 models : https://youtu.be/bMhu50fmjZU</v>
      </c>
      <c r="F31" s="3" t="s">
        <v>212</v>
      </c>
      <c r="G31" s="14" t="str">
        <f t="shared" si="2"/>
        <v>Breitling hands</v>
      </c>
      <c r="H31" s="3"/>
      <c r="I31" s="3"/>
      <c r="J31" s="3"/>
      <c r="K31" s="3"/>
      <c r="L31" s="3"/>
    </row>
    <row r="32" spans="1:12">
      <c r="A32" s="14"/>
      <c r="C32" s="14" t="str">
        <f>C24&amp;" : "&amp;B24</f>
        <v>Liste des 21 modèles d'aiguilles : https://youtu.be/2LOtQ8r0oNs</v>
      </c>
      <c r="D32" s="14" t="str">
        <f>D24&amp;" : "&amp;B24</f>
        <v>List of the 21 hands models : https://youtu.be/2LOtQ8r0oNs</v>
      </c>
      <c r="F32" s="3" t="s">
        <v>32</v>
      </c>
      <c r="G32" s="14" t="str">
        <f t="shared" si="2"/>
        <v>BellRoss hands</v>
      </c>
      <c r="H32" s="3"/>
      <c r="I32" s="3"/>
      <c r="J32" s="3"/>
      <c r="K32" s="3"/>
      <c r="L32" s="3"/>
    </row>
    <row r="33" spans="1:12">
      <c r="A33" s="14"/>
      <c r="B33" s="14"/>
      <c r="C33" s="14" t="str">
        <f>C25&amp;" : "&amp;B25</f>
        <v>Les couleurs : https://youtube.com/shorts/p4YTCRbKZ6I</v>
      </c>
      <c r="D33" s="14" t="str">
        <f>D25&amp;" : "&amp;B25</f>
        <v>The colors : https://youtube.com/shorts/p4YTCRbKZ6I</v>
      </c>
      <c r="F33" s="3" t="s">
        <v>213</v>
      </c>
      <c r="G33" s="14" t="str">
        <f t="shared" si="2"/>
        <v>Panerai hands</v>
      </c>
      <c r="H33" s="3"/>
      <c r="I33" s="3"/>
      <c r="J33" s="3"/>
      <c r="K33" s="3"/>
      <c r="L33" s="3"/>
    </row>
    <row r="34" spans="1:12">
      <c r="A34" s="14"/>
      <c r="B34" s="14"/>
      <c r="C34" s="14" t="str">
        <f>C26&amp;" : "&amp;B26</f>
        <v>Paramétrages : https://youtu.be/3X2uqDR60D0</v>
      </c>
      <c r="D34" s="14" t="str">
        <f>D26&amp;" : "&amp;B26</f>
        <v>Somme settings : https://youtu.be/3X2uqDR60D0</v>
      </c>
      <c r="F34" s="3" t="s">
        <v>10</v>
      </c>
      <c r="G34" s="14" t="str">
        <f t="shared" si="2"/>
        <v>SeikoDiverSKX007 hands</v>
      </c>
      <c r="H34" s="3"/>
      <c r="I34" s="3"/>
      <c r="J34" s="3"/>
      <c r="K34" s="3"/>
      <c r="L34" s="3"/>
    </row>
    <row r="35" spans="1:12">
      <c r="A35" s="14"/>
      <c r="B35" s="14"/>
      <c r="C35" s="14" t="str">
        <f>C27&amp;" : "&amp;B27</f>
        <v>Bretlinge : https://youtube.com/shorts/8WT6TwZFV1I?feature=share</v>
      </c>
      <c r="D35" s="3"/>
      <c r="F35" s="3" t="s">
        <v>14</v>
      </c>
      <c r="G35" s="14" t="str">
        <f t="shared" si="2"/>
        <v>UBOAT hands</v>
      </c>
      <c r="H35" s="3"/>
      <c r="I35" s="3"/>
      <c r="J35" s="3"/>
      <c r="K35" s="3"/>
      <c r="L35" s="3"/>
    </row>
    <row r="36" spans="1:12">
      <c r="A36" s="14"/>
      <c r="B36" s="14"/>
      <c r="C36" s="14"/>
      <c r="D36" s="3"/>
      <c r="F36" s="3" t="s">
        <v>214</v>
      </c>
      <c r="G36" s="14" t="str">
        <f t="shared" si="2"/>
        <v>KhronoBauhaus hands</v>
      </c>
      <c r="H36" s="3"/>
      <c r="I36" s="3"/>
      <c r="J36" s="3"/>
      <c r="K36" s="3"/>
      <c r="L36" s="3"/>
    </row>
    <row r="37" spans="1:12">
      <c r="A37" s="14"/>
      <c r="B37" s="14"/>
      <c r="C37" s="14"/>
      <c r="D37" s="3"/>
      <c r="F37" s="3" t="s">
        <v>163</v>
      </c>
      <c r="G37" s="14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xmlns:xlrd2="http://schemas.microsoft.com/office/spreadsheetml/2017/richdata2" ref="A2:B13">
    <sortCondition ref="A2:A13"/>
  </sortState>
  <hyperlinks>
    <hyperlink ref="C2" r:id="rId1" xr:uid="{00000000-0004-0000-0400-000000000000}"/>
    <hyperlink ref="C3" r:id="rId2" xr:uid="{00000000-0004-0000-0400-000001000000}"/>
    <hyperlink ref="C4" r:id="rId3" xr:uid="{00000000-0004-0000-0400-000002000000}"/>
    <hyperlink ref="C5" r:id="rId4" xr:uid="{00000000-0004-0000-0400-000003000000}"/>
    <hyperlink ref="C6" r:id="rId5" xr:uid="{00000000-0004-0000-0400-000004000000}"/>
    <hyperlink ref="C7" r:id="rId6" xr:uid="{00000000-0004-0000-0400-000005000000}"/>
    <hyperlink ref="C8" r:id="rId7" xr:uid="{00000000-0004-0000-0400-000006000000}"/>
    <hyperlink ref="C9" r:id="rId8" xr:uid="{00000000-0004-0000-0400-000007000000}"/>
    <hyperlink ref="C10" r:id="rId9" xr:uid="{00000000-0004-0000-0400-000008000000}"/>
    <hyperlink ref="C11" r:id="rId10" xr:uid="{00000000-0004-0000-0400-000009000000}"/>
    <hyperlink ref="B23" r:id="rId11" xr:uid="{00000000-0004-0000-0400-00000A000000}"/>
    <hyperlink ref="B24" r:id="rId12" xr:uid="{00000000-0004-0000-0400-00000B000000}"/>
    <hyperlink ref="B25" r:id="rId13" xr:uid="{00000000-0004-0000-0400-00000C000000}"/>
    <hyperlink ref="B26" r:id="rId14" xr:uid="{00000000-0004-0000-0400-00000D000000}"/>
    <hyperlink ref="B27" r:id="rId15" xr:uid="{00000000-0004-0000-0400-00000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Q31"/>
  <sheetViews>
    <sheetView workbookViewId="0">
      <selection activeCell="A34" sqref="A34"/>
    </sheetView>
  </sheetViews>
  <sheetFormatPr baseColWidth="10" defaultRowHeight="15"/>
  <cols>
    <col min="1" max="1" width="20.42578125" customWidth="1"/>
  </cols>
  <sheetData>
    <row r="1" spans="1:17">
      <c r="A1" s="16">
        <v>454</v>
      </c>
      <c r="B1" s="16">
        <v>25</v>
      </c>
      <c r="C1" t="s">
        <v>963</v>
      </c>
      <c r="D1" s="4">
        <f>ROUND(A1/454*50,0)</f>
        <v>50</v>
      </c>
      <c r="E1" s="5"/>
    </row>
    <row r="2" spans="1:17">
      <c r="D2" s="4"/>
      <c r="E2" s="5"/>
    </row>
    <row r="5" spans="1:17">
      <c r="A5" s="1" t="s">
        <v>39</v>
      </c>
    </row>
    <row r="6" spans="1:17">
      <c r="A6" s="6" t="s">
        <v>38</v>
      </c>
      <c r="B6" s="7"/>
      <c r="C6" s="7"/>
      <c r="D6" s="7"/>
      <c r="E6" s="7"/>
      <c r="F6" s="7"/>
      <c r="G6" s="7"/>
      <c r="H6" s="8"/>
      <c r="K6" s="7"/>
      <c r="L6" s="7"/>
      <c r="M6" s="7"/>
      <c r="N6" s="7"/>
      <c r="O6" s="7"/>
      <c r="P6" s="7"/>
      <c r="Q6" s="8"/>
    </row>
    <row r="7" spans="1:17">
      <c r="A7" s="9" t="str">
        <f>"common lineHeight="&amp;D1&amp;" base=1 scaleW=1 scaleH=1 pages=1 packed=0 alphaChnl=0 redChnl=4 greenChnl=4 blueChnl=4"</f>
        <v>common lineHeight=50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10"/>
      <c r="L7" s="10"/>
      <c r="M7" s="10"/>
      <c r="N7" s="10"/>
      <c r="O7" s="10"/>
      <c r="P7" s="10"/>
      <c r="Q7" s="11"/>
    </row>
    <row r="8" spans="1:17">
      <c r="A8" s="9" t="s">
        <v>965</v>
      </c>
      <c r="B8" s="10"/>
      <c r="C8" s="10"/>
      <c r="D8" s="10"/>
      <c r="E8" s="10"/>
      <c r="F8" s="10"/>
      <c r="G8" s="10"/>
      <c r="H8" s="11"/>
      <c r="K8" s="10"/>
      <c r="L8" s="10"/>
      <c r="M8" s="10"/>
      <c r="N8" s="10"/>
      <c r="O8" s="10"/>
      <c r="P8" s="10"/>
      <c r="Q8" s="11"/>
    </row>
    <row r="9" spans="1:17">
      <c r="A9" s="9" t="str">
        <f>"chars count="&amp;(B1)</f>
        <v>chars count=25</v>
      </c>
      <c r="B9" s="10"/>
      <c r="C9" s="10"/>
      <c r="D9" s="10"/>
      <c r="E9" s="10"/>
      <c r="F9" s="10"/>
      <c r="G9" s="10"/>
      <c r="H9" s="11"/>
      <c r="K9" s="10"/>
      <c r="L9" s="10"/>
      <c r="M9" s="10"/>
      <c r="N9" s="10"/>
      <c r="O9" s="10"/>
      <c r="P9" s="10"/>
      <c r="Q9" s="11"/>
    </row>
    <row r="10" spans="1:17">
      <c r="A10" s="9"/>
      <c r="B10" s="10"/>
      <c r="C10" s="10"/>
      <c r="D10" s="10"/>
      <c r="E10" s="10"/>
      <c r="F10" s="10"/>
      <c r="G10" s="10"/>
      <c r="H10" s="11"/>
      <c r="K10" s="10"/>
      <c r="L10" s="10"/>
      <c r="M10" s="10"/>
      <c r="N10" s="10"/>
      <c r="O10" s="10"/>
      <c r="P10" s="10"/>
      <c r="Q10" s="11"/>
    </row>
    <row r="11" spans="1:17">
      <c r="A11" s="9" t="str">
        <f>"char id="&amp;H11+65&amp;"    x="&amp;H11*$D$1&amp;"       y=0     width="&amp;$D$1&amp;"  height="&amp;$D$1&amp;"   xoffset=0    yoffset=0    xadvance="&amp;$D$1&amp;"    page=0  chnl=15"</f>
        <v>char id=65    x=0       y=0     width=50  height=50   xoffset=0    yoffset=0    xadvance=50    page=0  chnl=15</v>
      </c>
      <c r="B11" s="10"/>
      <c r="C11" s="10"/>
      <c r="D11" s="10"/>
      <c r="E11" s="10"/>
      <c r="F11" s="10"/>
      <c r="G11" s="10"/>
      <c r="H11" s="11">
        <v>0</v>
      </c>
      <c r="K11" s="10"/>
      <c r="L11" s="10"/>
      <c r="M11" s="10"/>
      <c r="N11" s="10"/>
      <c r="O11" s="10"/>
      <c r="P11" s="10"/>
      <c r="Q11" s="11"/>
    </row>
    <row r="12" spans="1:17">
      <c r="A12" s="9" t="str">
        <f t="shared" ref="A12:A31" si="0">"char id="&amp;H12+65&amp;"    x="&amp;H12*$D$1&amp;"       y=0     width="&amp;$D$1&amp;"  height="&amp;$D$1&amp;"   xoffset=0    yoffset=0    xadvance="&amp;$D$1&amp;"    page=0  chnl=15"</f>
        <v>char id=66    x=50       y=0     width=50  height=50   xoffset=0    yoffset=0    xadvance=50    page=0  chnl=15</v>
      </c>
      <c r="B12" s="10"/>
      <c r="C12" s="10"/>
      <c r="D12" s="10"/>
      <c r="E12" s="10"/>
      <c r="F12" s="10"/>
      <c r="G12" s="10"/>
      <c r="H12" s="11">
        <v>1</v>
      </c>
      <c r="K12" s="10"/>
      <c r="L12" s="10"/>
      <c r="M12" s="10"/>
      <c r="N12" s="10"/>
      <c r="O12" s="10"/>
      <c r="P12" s="10"/>
      <c r="Q12" s="11"/>
    </row>
    <row r="13" spans="1:17">
      <c r="A13" s="9" t="str">
        <f t="shared" si="0"/>
        <v>char id=67    x=100       y=0     width=50  height=50   xoffset=0    yoffset=0    xadvance=50    page=0  chnl=15</v>
      </c>
      <c r="B13" s="10"/>
      <c r="C13" s="10"/>
      <c r="D13" s="10"/>
      <c r="E13" s="10"/>
      <c r="F13" s="10"/>
      <c r="G13" s="10"/>
      <c r="H13" s="11">
        <v>2</v>
      </c>
      <c r="K13" s="10"/>
      <c r="L13" s="10"/>
      <c r="M13" s="10"/>
      <c r="N13" s="10"/>
      <c r="O13" s="10"/>
      <c r="P13" s="10"/>
      <c r="Q13" s="11"/>
    </row>
    <row r="14" spans="1:17">
      <c r="A14" s="9" t="str">
        <f t="shared" si="0"/>
        <v>char id=68    x=150       y=0     width=50  height=50   xoffset=0    yoffset=0    xadvance=50    page=0  chnl=15</v>
      </c>
      <c r="B14" s="10"/>
      <c r="C14" s="10"/>
      <c r="D14" s="10"/>
      <c r="E14" s="10"/>
      <c r="F14" s="10"/>
      <c r="G14" s="10"/>
      <c r="H14" s="11">
        <v>3</v>
      </c>
      <c r="K14" s="10"/>
      <c r="L14" s="10"/>
      <c r="M14" s="10"/>
      <c r="N14" s="10"/>
      <c r="O14" s="10"/>
      <c r="P14" s="10"/>
      <c r="Q14" s="11"/>
    </row>
    <row r="15" spans="1:17">
      <c r="A15" s="9" t="str">
        <f t="shared" si="0"/>
        <v>char id=69    x=200       y=0     width=50  height=50   xoffset=0    yoffset=0    xadvance=50    page=0  chnl=15</v>
      </c>
      <c r="B15" s="10"/>
      <c r="C15" s="10"/>
      <c r="D15" s="10"/>
      <c r="E15" s="10"/>
      <c r="F15" s="10"/>
      <c r="G15" s="10"/>
      <c r="H15" s="11">
        <v>4</v>
      </c>
      <c r="K15" s="10"/>
      <c r="L15" s="10"/>
      <c r="M15" s="10"/>
      <c r="N15" s="10"/>
      <c r="O15" s="10"/>
      <c r="P15" s="10"/>
      <c r="Q15" s="11"/>
    </row>
    <row r="16" spans="1:17">
      <c r="A16" s="9" t="str">
        <f t="shared" si="0"/>
        <v>char id=70    x=250       y=0     width=50  height=50   xoffset=0    yoffset=0    xadvance=50    page=0  chnl=15</v>
      </c>
      <c r="B16" s="10"/>
      <c r="C16" s="10"/>
      <c r="D16" s="10"/>
      <c r="E16" s="10"/>
      <c r="F16" s="10"/>
      <c r="G16" s="10"/>
      <c r="H16" s="11">
        <v>5</v>
      </c>
      <c r="K16" s="10"/>
      <c r="L16" s="10"/>
      <c r="M16" s="10"/>
      <c r="N16" s="10"/>
      <c r="O16" s="10"/>
      <c r="P16" s="10"/>
      <c r="Q16" s="11"/>
    </row>
    <row r="17" spans="1:17">
      <c r="A17" s="9" t="str">
        <f t="shared" si="0"/>
        <v>char id=71    x=300       y=0     width=50  height=50   xoffset=0    yoffset=0    xadvance=50    page=0  chnl=15</v>
      </c>
      <c r="B17" s="10"/>
      <c r="C17" s="10"/>
      <c r="D17" s="10"/>
      <c r="E17" s="10"/>
      <c r="F17" s="10"/>
      <c r="G17" s="10"/>
      <c r="H17" s="11">
        <v>6</v>
      </c>
      <c r="K17" s="10"/>
      <c r="L17" s="10"/>
      <c r="M17" s="10"/>
      <c r="N17" s="10"/>
      <c r="O17" s="10"/>
      <c r="P17" s="10"/>
      <c r="Q17" s="11"/>
    </row>
    <row r="18" spans="1:17">
      <c r="A18" s="9" t="str">
        <f t="shared" si="0"/>
        <v>char id=72    x=350       y=0     width=50  height=50   xoffset=0    yoffset=0    xadvance=50    page=0  chnl=15</v>
      </c>
      <c r="B18" s="10"/>
      <c r="C18" s="10"/>
      <c r="D18" s="10"/>
      <c r="E18" s="10"/>
      <c r="F18" s="10"/>
      <c r="G18" s="10"/>
      <c r="H18" s="11">
        <v>7</v>
      </c>
      <c r="K18" s="10"/>
      <c r="L18" s="10"/>
      <c r="M18" s="10"/>
      <c r="N18" s="10"/>
      <c r="O18" s="10"/>
      <c r="P18" s="10"/>
      <c r="Q18" s="11"/>
    </row>
    <row r="19" spans="1:17">
      <c r="A19" s="9" t="str">
        <f t="shared" si="0"/>
        <v>char id=73    x=400       y=0     width=50  height=50   xoffset=0    yoffset=0    xadvance=50    page=0  chnl=15</v>
      </c>
      <c r="B19" s="10"/>
      <c r="C19" s="10"/>
      <c r="D19" s="10"/>
      <c r="E19" s="10"/>
      <c r="F19" s="10"/>
      <c r="G19" s="10"/>
      <c r="H19" s="11">
        <v>8</v>
      </c>
      <c r="K19" s="10"/>
      <c r="L19" s="10"/>
      <c r="M19" s="10"/>
      <c r="N19" s="10"/>
      <c r="O19" s="10"/>
      <c r="P19" s="10"/>
      <c r="Q19" s="11"/>
    </row>
    <row r="20" spans="1:17">
      <c r="A20" s="9" t="str">
        <f t="shared" si="0"/>
        <v>char id=74    x=450       y=0     width=50  height=50   xoffset=0    yoffset=0    xadvance=50    page=0  chnl=15</v>
      </c>
      <c r="B20" s="10"/>
      <c r="C20" s="10"/>
      <c r="D20" s="10"/>
      <c r="E20" s="10"/>
      <c r="F20" s="10"/>
      <c r="G20" s="10"/>
      <c r="H20" s="11">
        <v>9</v>
      </c>
      <c r="K20" s="10"/>
      <c r="L20" s="10"/>
      <c r="M20" s="10"/>
      <c r="N20" s="10"/>
      <c r="O20" s="10"/>
      <c r="P20" s="10"/>
      <c r="Q20" s="11"/>
    </row>
    <row r="21" spans="1:17">
      <c r="A21" s="9" t="str">
        <f t="shared" si="0"/>
        <v>char id=75    x=500       y=0     width=50  height=50   xoffset=0    yoffset=0    xadvance=50    page=0  chnl=15</v>
      </c>
      <c r="B21" s="10"/>
      <c r="C21" s="10"/>
      <c r="D21" s="10"/>
      <c r="E21" s="10"/>
      <c r="F21" s="10"/>
      <c r="G21" s="10"/>
      <c r="H21" s="11">
        <v>10</v>
      </c>
      <c r="K21" s="10"/>
      <c r="L21" s="10"/>
      <c r="M21" s="10"/>
      <c r="N21" s="10"/>
      <c r="O21" s="10"/>
      <c r="P21" s="10"/>
      <c r="Q21" s="11"/>
    </row>
    <row r="22" spans="1:17">
      <c r="A22" s="9" t="str">
        <f t="shared" si="0"/>
        <v>char id=76    x=550       y=0     width=50  height=50   xoffset=0    yoffset=0    xadvance=50    page=0  chnl=15</v>
      </c>
      <c r="B22" s="10"/>
      <c r="C22" s="10"/>
      <c r="D22" s="10"/>
      <c r="E22" s="10"/>
      <c r="F22" s="10"/>
      <c r="G22" s="10"/>
      <c r="H22" s="11">
        <v>11</v>
      </c>
      <c r="K22" s="10"/>
      <c r="L22" s="10"/>
      <c r="M22" s="10"/>
      <c r="N22" s="10"/>
      <c r="O22" s="10"/>
      <c r="P22" s="10"/>
      <c r="Q22" s="11"/>
    </row>
    <row r="23" spans="1:17">
      <c r="A23" s="9" t="str">
        <f t="shared" si="0"/>
        <v>char id=77    x=600       y=0     width=50  height=50   xoffset=0    yoffset=0    xadvance=50    page=0  chnl=15</v>
      </c>
      <c r="B23" s="10"/>
      <c r="C23" s="10"/>
      <c r="D23" s="10"/>
      <c r="E23" s="10"/>
      <c r="F23" s="10"/>
      <c r="G23" s="10"/>
      <c r="H23" s="11">
        <v>12</v>
      </c>
      <c r="K23" s="10"/>
      <c r="L23" s="10"/>
      <c r="M23" s="10"/>
      <c r="N23" s="10"/>
      <c r="O23" s="10"/>
      <c r="P23" s="10"/>
      <c r="Q23" s="11"/>
    </row>
    <row r="24" spans="1:17">
      <c r="A24" s="9" t="str">
        <f t="shared" si="0"/>
        <v>char id=78    x=650       y=0     width=50  height=50   xoffset=0    yoffset=0    xadvance=50    page=0  chnl=15</v>
      </c>
      <c r="B24" s="10"/>
      <c r="C24" s="10"/>
      <c r="D24" s="10"/>
      <c r="E24" s="10"/>
      <c r="F24" s="10"/>
      <c r="G24" s="10"/>
      <c r="H24" s="11">
        <v>13</v>
      </c>
      <c r="K24" s="10"/>
      <c r="L24" s="10"/>
      <c r="M24" s="10"/>
      <c r="N24" s="10"/>
      <c r="O24" s="10"/>
      <c r="P24" s="10"/>
      <c r="Q24" s="11"/>
    </row>
    <row r="25" spans="1:17">
      <c r="A25" s="9" t="str">
        <f t="shared" si="0"/>
        <v>char id=79    x=700       y=0     width=50  height=50   xoffset=0    yoffset=0    xadvance=50    page=0  chnl=15</v>
      </c>
      <c r="B25" s="10"/>
      <c r="C25" s="10"/>
      <c r="D25" s="10"/>
      <c r="E25" s="10"/>
      <c r="F25" s="10"/>
      <c r="G25" s="10"/>
      <c r="H25" s="11">
        <v>14</v>
      </c>
      <c r="K25" s="10"/>
      <c r="L25" s="10"/>
      <c r="M25" s="10"/>
      <c r="N25" s="10"/>
      <c r="O25" s="10"/>
      <c r="P25" s="10"/>
      <c r="Q25" s="11"/>
    </row>
    <row r="26" spans="1:17">
      <c r="A26" s="9" t="str">
        <f t="shared" si="0"/>
        <v>char id=80    x=750       y=0     width=50  height=50   xoffset=0    yoffset=0    xadvance=50    page=0  chnl=15</v>
      </c>
      <c r="B26" s="10"/>
      <c r="C26" s="10"/>
      <c r="D26" s="10"/>
      <c r="E26" s="10"/>
      <c r="F26" s="10"/>
      <c r="G26" s="10"/>
      <c r="H26" s="11">
        <v>15</v>
      </c>
      <c r="K26" s="10"/>
      <c r="L26" s="10"/>
      <c r="M26" s="10"/>
      <c r="N26" s="10"/>
      <c r="O26" s="10"/>
      <c r="P26" s="10"/>
      <c r="Q26" s="11"/>
    </row>
    <row r="27" spans="1:17">
      <c r="A27" s="9" t="str">
        <f t="shared" si="0"/>
        <v>char id=81    x=800       y=0     width=50  height=50   xoffset=0    yoffset=0    xadvance=50    page=0  chnl=15</v>
      </c>
      <c r="B27" s="10"/>
      <c r="C27" s="10"/>
      <c r="D27" s="10"/>
      <c r="E27" s="10"/>
      <c r="F27" s="10"/>
      <c r="G27" s="10"/>
      <c r="H27" s="11">
        <v>16</v>
      </c>
      <c r="K27" s="10"/>
      <c r="L27" s="10"/>
      <c r="M27" s="10"/>
      <c r="N27" s="10"/>
      <c r="O27" s="10"/>
      <c r="P27" s="10"/>
      <c r="Q27" s="11"/>
    </row>
    <row r="28" spans="1:17">
      <c r="A28" s="9" t="str">
        <f t="shared" si="0"/>
        <v>char id=82    x=850       y=0     width=50  height=50   xoffset=0    yoffset=0    xadvance=50    page=0  chnl=15</v>
      </c>
      <c r="B28" s="10"/>
      <c r="C28" s="10"/>
      <c r="D28" s="10"/>
      <c r="E28" s="10"/>
      <c r="F28" s="10"/>
      <c r="G28" s="10"/>
      <c r="H28" s="11">
        <v>17</v>
      </c>
      <c r="K28" s="10"/>
      <c r="L28" s="10"/>
      <c r="M28" s="10"/>
      <c r="N28" s="10"/>
      <c r="O28" s="10"/>
      <c r="P28" s="10"/>
      <c r="Q28" s="11"/>
    </row>
    <row r="29" spans="1:17">
      <c r="A29" s="9" t="str">
        <f t="shared" si="0"/>
        <v>char id=83    x=900       y=0     width=50  height=50   xoffset=0    yoffset=0    xadvance=50    page=0  chnl=15</v>
      </c>
      <c r="B29" s="12"/>
      <c r="C29" s="12"/>
      <c r="D29" s="12"/>
      <c r="E29" s="12"/>
      <c r="F29" s="12"/>
      <c r="G29" s="12"/>
      <c r="H29" s="11">
        <v>18</v>
      </c>
      <c r="K29" s="12"/>
      <c r="L29" s="12"/>
      <c r="M29" s="12"/>
      <c r="N29" s="12"/>
      <c r="O29" s="12"/>
      <c r="P29" s="12"/>
      <c r="Q29" s="13"/>
    </row>
    <row r="30" spans="1:17">
      <c r="A30" s="9" t="str">
        <f t="shared" si="0"/>
        <v>char id=84    x=950       y=0     width=50  height=50   xoffset=0    yoffset=0    xadvance=50    page=0  chnl=15</v>
      </c>
      <c r="H30" s="11">
        <v>19</v>
      </c>
    </row>
    <row r="31" spans="1:17">
      <c r="A31" s="9" t="str">
        <f t="shared" si="0"/>
        <v>char id=85    x=1000       y=0     width=50  height=50   xoffset=0    yoffset=0    xadvance=50    page=0  chnl=15</v>
      </c>
      <c r="H31" s="11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26"/>
  <sheetViews>
    <sheetView workbookViewId="0">
      <selection sqref="A1:A26"/>
    </sheetView>
  </sheetViews>
  <sheetFormatPr baseColWidth="10" defaultRowHeight="15"/>
  <cols>
    <col min="1" max="1" width="54.28515625" customWidth="1"/>
  </cols>
  <sheetData>
    <row r="1" spans="1:1">
      <c r="A1" t="s">
        <v>38</v>
      </c>
    </row>
    <row r="2" spans="1:1">
      <c r="A2" t="s">
        <v>966</v>
      </c>
    </row>
    <row r="3" spans="1:1">
      <c r="A3" t="s">
        <v>965</v>
      </c>
    </row>
    <row r="4" spans="1:1">
      <c r="A4" t="s">
        <v>1042</v>
      </c>
    </row>
    <row r="6" spans="1:1">
      <c r="A6" t="s">
        <v>967</v>
      </c>
    </row>
    <row r="7" spans="1:1">
      <c r="A7" t="s">
        <v>968</v>
      </c>
    </row>
    <row r="8" spans="1:1">
      <c r="A8" t="s">
        <v>969</v>
      </c>
    </row>
    <row r="9" spans="1:1">
      <c r="A9" t="s">
        <v>970</v>
      </c>
    </row>
    <row r="10" spans="1:1">
      <c r="A10" t="s">
        <v>971</v>
      </c>
    </row>
    <row r="11" spans="1:1">
      <c r="A11" t="s">
        <v>972</v>
      </c>
    </row>
    <row r="12" spans="1:1">
      <c r="A12" t="s">
        <v>973</v>
      </c>
    </row>
    <row r="13" spans="1:1">
      <c r="A13" t="s">
        <v>974</v>
      </c>
    </row>
    <row r="14" spans="1:1">
      <c r="A14" t="s">
        <v>975</v>
      </c>
    </row>
    <row r="15" spans="1:1">
      <c r="A15" t="s">
        <v>976</v>
      </c>
    </row>
    <row r="16" spans="1:1">
      <c r="A16" t="s">
        <v>977</v>
      </c>
    </row>
    <row r="17" spans="1:1">
      <c r="A17" t="s">
        <v>978</v>
      </c>
    </row>
    <row r="18" spans="1:1">
      <c r="A18" t="s">
        <v>979</v>
      </c>
    </row>
    <row r="19" spans="1:1">
      <c r="A19" t="s">
        <v>980</v>
      </c>
    </row>
    <row r="20" spans="1:1">
      <c r="A20" t="s">
        <v>981</v>
      </c>
    </row>
    <row r="21" spans="1:1">
      <c r="A21" t="s">
        <v>982</v>
      </c>
    </row>
    <row r="22" spans="1:1">
      <c r="A22" t="s">
        <v>983</v>
      </c>
    </row>
    <row r="23" spans="1:1">
      <c r="A23" t="s">
        <v>984</v>
      </c>
    </row>
    <row r="24" spans="1:1">
      <c r="A24" t="s">
        <v>1043</v>
      </c>
    </row>
    <row r="25" spans="1:1">
      <c r="A25" t="s">
        <v>1044</v>
      </c>
    </row>
    <row r="26" spans="1:1">
      <c r="A26" t="s">
        <v>1045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Modeles</vt:lpstr>
      <vt:lpstr>Manifest</vt:lpstr>
      <vt:lpstr>Couleurs</vt:lpstr>
      <vt:lpstr>macros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2026-06-26T15:38:11Z</dcterms:modified>
</cp:coreProperties>
</file>